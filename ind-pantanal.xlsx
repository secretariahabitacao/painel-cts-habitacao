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137" documentId="8_{DAC6C9CA-70D7-4111-A0A7-BC6755E560D9}" xr6:coauthVersionLast="47" xr6:coauthVersionMax="47" xr10:uidLastSave="{9A2CC12A-CAAF-4FDD-A70F-92438983A968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806" i="20" l="1"/>
  <c r="BD806" i="20"/>
  <c r="BE806" i="20"/>
  <c r="BE159" i="20"/>
  <c r="BD159" i="20"/>
  <c r="BC159" i="20"/>
  <c r="BE149" i="20"/>
  <c r="BD149" i="20"/>
  <c r="BC149" i="20"/>
  <c r="BE101" i="20"/>
  <c r="BD101" i="20"/>
  <c r="BC101" i="20"/>
  <c r="BE661" i="20"/>
  <c r="BD661" i="20"/>
  <c r="BC661" i="20"/>
  <c r="BE482" i="20"/>
  <c r="BD482" i="20"/>
  <c r="BC482" i="20"/>
  <c r="BE571" i="20"/>
  <c r="BD571" i="20"/>
  <c r="BC571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79" i="20"/>
  <c r="BD479" i="20"/>
  <c r="BC479" i="20"/>
  <c r="BE443" i="20"/>
  <c r="BD443" i="20"/>
  <c r="BC443" i="20"/>
  <c r="BE442" i="20"/>
  <c r="BD442" i="20"/>
  <c r="BC442" i="20"/>
  <c r="BE441" i="20"/>
  <c r="BD441" i="20"/>
  <c r="BC441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6" i="20"/>
  <c r="BD426" i="20"/>
  <c r="BC426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6" i="20"/>
  <c r="BD786" i="20"/>
  <c r="BC786" i="20"/>
  <c r="BE714" i="20"/>
  <c r="BD714" i="20"/>
  <c r="BC714" i="20"/>
  <c r="AH714" i="20"/>
  <c r="BE669" i="20"/>
  <c r="BD669" i="20"/>
  <c r="BC669" i="20"/>
  <c r="BE652" i="20"/>
  <c r="BD652" i="20"/>
  <c r="BC652" i="20"/>
  <c r="BE647" i="20"/>
  <c r="BD647" i="20"/>
  <c r="BC647" i="20"/>
  <c r="BE608" i="20"/>
  <c r="BD608" i="20"/>
  <c r="BC608" i="20"/>
  <c r="BE494" i="20"/>
  <c r="BD494" i="20"/>
  <c r="BC494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2" i="20"/>
  <c r="BD792" i="20"/>
  <c r="BE792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7" i="20"/>
  <c r="BD127" i="20"/>
  <c r="BE127" i="20"/>
  <c r="BC128" i="20"/>
  <c r="BD128" i="20"/>
  <c r="BE128" i="20"/>
  <c r="BC130" i="20"/>
  <c r="BD130" i="20"/>
  <c r="BE130" i="20"/>
  <c r="BC131" i="20"/>
  <c r="BD131" i="20"/>
  <c r="BE131" i="20"/>
  <c r="BC134" i="20"/>
  <c r="BD134" i="20"/>
  <c r="BE134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1" i="20"/>
  <c r="BD151" i="20"/>
  <c r="BE151" i="20"/>
  <c r="BC156" i="20"/>
  <c r="BD156" i="20"/>
  <c r="BE156" i="20"/>
  <c r="BC157" i="20"/>
  <c r="BD157" i="20"/>
  <c r="BE157" i="20"/>
  <c r="BC160" i="20"/>
  <c r="BD160" i="20"/>
  <c r="BE160" i="20"/>
  <c r="BC161" i="20"/>
  <c r="BD161" i="20"/>
  <c r="BE161" i="20"/>
  <c r="BC163" i="20"/>
  <c r="BD163" i="20"/>
  <c r="BE163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79" i="20"/>
  <c r="BD579" i="20"/>
  <c r="BE579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2" i="20"/>
  <c r="BD282" i="20"/>
  <c r="BE282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C420" i="20"/>
  <c r="BD420" i="20"/>
  <c r="BE420" i="20"/>
  <c r="BC421" i="20"/>
  <c r="BD421" i="20"/>
  <c r="BE421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7" i="20"/>
  <c r="BD427" i="20"/>
  <c r="BE427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2" i="20"/>
  <c r="BD462" i="20"/>
  <c r="BE462" i="20"/>
  <c r="BC464" i="20"/>
  <c r="BD464" i="20"/>
  <c r="BE464" i="20"/>
  <c r="BC463" i="20"/>
  <c r="BD463" i="20"/>
  <c r="BE463" i="20"/>
  <c r="BC465" i="20"/>
  <c r="BD465" i="20"/>
  <c r="BE465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1" i="20"/>
  <c r="BD481" i="20"/>
  <c r="BE481" i="20"/>
  <c r="BC120" i="20"/>
  <c r="BD120" i="20"/>
  <c r="BE120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5" i="20"/>
  <c r="BD495" i="20"/>
  <c r="BE495" i="20"/>
  <c r="BC497" i="20"/>
  <c r="BD497" i="20"/>
  <c r="BE497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3" i="20"/>
  <c r="BD513" i="20"/>
  <c r="BE513" i="20"/>
  <c r="BC512" i="20"/>
  <c r="BD512" i="20"/>
  <c r="BE512" i="20"/>
  <c r="BC514" i="20"/>
  <c r="BD514" i="20"/>
  <c r="BE514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3" i="20"/>
  <c r="BD523" i="20"/>
  <c r="BE523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1" i="20"/>
  <c r="BD531" i="20"/>
  <c r="BE531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8" i="20"/>
  <c r="BD578" i="20"/>
  <c r="BE578" i="20"/>
  <c r="BC209" i="20"/>
  <c r="BD209" i="20"/>
  <c r="BE209" i="20"/>
  <c r="BC580" i="20"/>
  <c r="BD580" i="20"/>
  <c r="BE580" i="20"/>
  <c r="BC582" i="20"/>
  <c r="BD582" i="20"/>
  <c r="BE582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8" i="20"/>
  <c r="BD588" i="20"/>
  <c r="BE588" i="20"/>
  <c r="BC589" i="20"/>
  <c r="BD589" i="20"/>
  <c r="BE589" i="20"/>
  <c r="BC591" i="20"/>
  <c r="BD591" i="20"/>
  <c r="BE591" i="20"/>
  <c r="BC592" i="20"/>
  <c r="BD592" i="20"/>
  <c r="BE592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4" i="20"/>
  <c r="BD604" i="20"/>
  <c r="BE604" i="20"/>
  <c r="BC606" i="20"/>
  <c r="BD606" i="20"/>
  <c r="BE606" i="20"/>
  <c r="BC607" i="20"/>
  <c r="BD607" i="20"/>
  <c r="BE607" i="20"/>
  <c r="BC609" i="20"/>
  <c r="BD609" i="20"/>
  <c r="BE609" i="20"/>
  <c r="BC610" i="20"/>
  <c r="BD610" i="20"/>
  <c r="BE610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487" i="20"/>
  <c r="AH468" i="20"/>
  <c r="AH131" i="20"/>
  <c r="AH415" i="20"/>
  <c r="AH563" i="20"/>
  <c r="AH327" i="20"/>
  <c r="AH208" i="20"/>
  <c r="AH39" i="20"/>
  <c r="AH571" i="20"/>
  <c r="AH381" i="20"/>
  <c r="AH694" i="20"/>
  <c r="AH424" i="20"/>
  <c r="AH422" i="20"/>
  <c r="AH365" i="20"/>
  <c r="AH479" i="20"/>
  <c r="AH656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7" i="20"/>
  <c r="AH542" i="20"/>
  <c r="AH302" i="20"/>
  <c r="AH292" i="20"/>
  <c r="AH243" i="20"/>
  <c r="AH218" i="20"/>
  <c r="AH606" i="20"/>
  <c r="AH385" i="20"/>
  <c r="AH23" i="20"/>
  <c r="AH271" i="20"/>
  <c r="AH386" i="20"/>
  <c r="AH282" i="20"/>
  <c r="AH257" i="20"/>
  <c r="AH80" i="20"/>
  <c r="AH305" i="20"/>
  <c r="AH300" i="20"/>
  <c r="AH91" i="20"/>
  <c r="AH164" i="20"/>
  <c r="AH713" i="20"/>
  <c r="AH134" i="20"/>
  <c r="AH176" i="20"/>
  <c r="AH210" i="20"/>
  <c r="AH74" i="20"/>
  <c r="AH353" i="20"/>
  <c r="AH346" i="20"/>
  <c r="AH16" i="20"/>
  <c r="AH427" i="20"/>
  <c r="AH364" i="20"/>
  <c r="AH374" i="20"/>
  <c r="AH344" i="20"/>
  <c r="AH309" i="20"/>
  <c r="AH354" i="20"/>
  <c r="AH594" i="20"/>
  <c r="AH376" i="20"/>
  <c r="AH355" i="20"/>
  <c r="AH428" i="20"/>
  <c r="AH390" i="20"/>
  <c r="AH248" i="20"/>
  <c r="AH294" i="20"/>
  <c r="AH87" i="20"/>
  <c r="AH230" i="20"/>
  <c r="AH64" i="20"/>
  <c r="AH715" i="20"/>
  <c r="AH620" i="20"/>
  <c r="AH363" i="20"/>
  <c r="AH338" i="20"/>
  <c r="AH336" i="20"/>
  <c r="AH562" i="20"/>
  <c r="AH622" i="20"/>
  <c r="AH764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<sst xmlns="http://schemas.openxmlformats.org/spreadsheetml/2006/main" count="33520" uniqueCount="8591">
  <si>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</si>
  <si>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</si>
  <si>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</si>
  <si>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</si>
  <si>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</si>
  <si>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</si>
  <si>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</si>
  <si>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</si>
  <si>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</si>
  <si>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</si>
  <si>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</si>
  <si>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</si>
  <si>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</si>
  <si>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</si>
  <si>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</si>
  <si>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</si>
  <si>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</si>
  <si>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</si>
  <si>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</si>
  <si>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</si>
  <si>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</si>
  <si>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</si>
  <si>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</si>
  <si>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</si>
  <si>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</si>
  <si>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</si>
  <si>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</si>
  <si>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</si>
  <si>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</si>
  <si>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</si>
  <si>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</si>
  <si>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</si>
  <si>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</si>
  <si>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</si>
  <si>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</si>
  <si>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</si>
  <si>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</si>
  <si>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</si>
  <si>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</si>
  <si>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</si>
  <si>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</si>
  <si>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</si>
  <si>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</si>
  <si>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</si>
  <si>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</si>
  <si>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</si>
  <si>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</si>
  <si>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</si>
  <si>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</si>
  <si>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</si>
  <si>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</si>
  <si>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</si>
  <si>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</si>
  <si>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</si>
  <si>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</si>
  <si>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</si>
  <si>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</si>
  <si>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</si>
  <si>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</si>
  <si>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</si>
  <si>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</si>
  <si>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</si>
  <si>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</si>
  <si>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</si>
  <si>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</si>
  <si>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</si>
  <si>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</si>
  <si>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</si>
  <si>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</si>
  <si>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</si>
  <si>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</si>
  <si>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</si>
  <si>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</si>
  <si>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</si>
  <si>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</si>
  <si>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</si>
  <si>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</si>
  <si>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</si>
  <si>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</si>
  <si>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</si>
  <si>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</si>
  <si>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</si>
  <si>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</si>
  <si>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</si>
  <si>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</si>
  <si>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</si>
  <si>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</si>
  <si>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</si>
  <si>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</si>
  <si>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</si>
  <si>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</si>
  <si>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</si>
  <si>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</si>
  <si>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</si>
  <si>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</si>
  <si>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</si>
  <si>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</si>
  <si>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</si>
  <si>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</si>
  <si>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</si>
  <si>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</si>
  <si>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</si>
  <si>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</si>
  <si>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</si>
  <si>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</si>
  <si>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</si>
  <si>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</si>
  <si>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</si>
  <si>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</si>
  <si>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</si>
  <si>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</si>
  <si>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</si>
  <si>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</si>
  <si>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</si>
  <si>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</si>
  <si>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</si>
  <si>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</si>
  <si>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</si>
  <si>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</si>
  <si>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</si>
  <si>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</si>
  <si>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</si>
  <si>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</si>
  <si>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</si>
  <si>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</si>
  <si>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</si>
  <si>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</si>
  <si>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</si>
  <si>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</si>
  <si>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</si>
  <si>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</si>
  <si>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</si>
  <si>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</si>
  <si>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</si>
  <si>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</si>
  <si>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</si>
  <si>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</si>
  <si>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</si>
  <si>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</si>
  <si>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</si>
  <si>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</si>
  <si>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</si>
  <si>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</si>
  <si>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</si>
  <si>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</si>
  <si>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</si>
  <si>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</si>
  <si>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</si>
  <si>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</si>
  <si>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</si>
  <si>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</si>
  <si>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</si>
  <si>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</si>
  <si>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</si>
  <si>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</si>
  <si>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</si>
  <si>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</si>
  <si>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</si>
  <si>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</si>
  <si>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</si>
  <si>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</si>
  <si>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</si>
  <si>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</si>
  <si>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</si>
  <si>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</si>
  <si>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</si>
  <si>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</si>
  <si>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</si>
  <si>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</si>
  <si>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</si>
  <si>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</si>
  <si>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</si>
  <si>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</si>
  <si>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</si>
  <si>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</si>
  <si>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</si>
  <si>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</si>
  <si>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</si>
  <si>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</si>
  <si>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</si>
  <si>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</si>
  <si>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</si>
  <si>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</si>
  <si>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</si>
  <si>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</si>
  <si>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</si>
  <si>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</si>
  <si>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</si>
  <si>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</si>
  <si>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</si>
  <si>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</si>
  <si>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</si>
  <si>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</si>
  <si>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</si>
  <si>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</si>
  <si>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</si>
  <si>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</si>
  <si>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</si>
  <si>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</si>
  <si>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</si>
  <si>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</si>
  <si>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</si>
  <si>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</si>
  <si>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</si>
  <si>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</si>
  <si>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</si>
  <si>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</si>
  <si>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</si>
  <si>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</si>
  <si>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</si>
  <si>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</si>
  <si>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</si>
  <si>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</si>
  <si>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</si>
  <si>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</si>
  <si>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</si>
  <si>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</si>
  <si>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</si>
  <si>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</si>
  <si>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</si>
  <si>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</si>
  <si>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</si>
  <si>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</si>
  <si>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</si>
  <si>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</si>
  <si>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</si>
  <si>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</si>
  <si>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</si>
  <si>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</si>
  <si>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</si>
  <si>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</si>
  <si>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</si>
  <si>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</si>
  <si>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</si>
  <si>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</si>
  <si>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</si>
  <si>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</si>
  <si>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</si>
  <si>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</si>
  <si>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</si>
  <si>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</si>
  <si>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</si>
  <si>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</si>
  <si>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</si>
  <si>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</si>
  <si>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</si>
  <si>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</si>
  <si>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</si>
  <si>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</si>
  <si>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</si>
  <si>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</si>
  <si>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</si>
  <si>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</si>
  <si>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</si>
  <si>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</si>
  <si>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</si>
  <si>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</si>
  <si>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</si>
  <si>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</si>
  <si>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</si>
  <si>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</si>
  <si>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</si>
  <si>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</si>
  <si>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</si>
  <si>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</si>
  <si>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</si>
  <si>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</si>
  <si>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</si>
  <si>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</si>
  <si>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</si>
  <si>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</si>
  <si>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</si>
  <si>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</si>
  <si>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</si>
  <si>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</si>
  <si>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</si>
  <si>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</si>
  <si>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</si>
  <si>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</si>
  <si>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</si>
  <si>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</si>
  <si>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</si>
  <si>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</si>
  <si>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</si>
  <si>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</si>
  <si>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</si>
  <si>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</si>
  <si>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</si>
  <si>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</si>
  <si>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</si>
  <si>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</si>
  <si>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</si>
  <si>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</si>
  <si>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</si>
  <si>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</si>
  <si>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</si>
  <si>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</si>
  <si>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</si>
  <si>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</si>
  <si>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</si>
  <si>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</si>
  <si>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</si>
  <si>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</si>
  <si>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</si>
  <si>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</si>
  <si>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</si>
  <si>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</si>
  <si>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</si>
  <si>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</si>
  <si>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</si>
  <si>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</si>
  <si>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</si>
  <si>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</si>
  <si>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</si>
  <si>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</si>
  <si>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</si>
  <si>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</si>
  <si>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</si>
  <si>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</si>
  <si>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</si>
  <si>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</si>
  <si>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</si>
  <si>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</si>
  <si>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</si>
  <si>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</si>
  <si>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</si>
  <si>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</si>
  <si>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</si>
  <si>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</si>
  <si>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</si>
  <si>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</si>
  <si>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</si>
  <si>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</si>
  <si>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</si>
  <si>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</si>
  <si>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</si>
  <si>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</si>
  <si>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</si>
  <si>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</si>
  <si>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</si>
  <si>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</si>
  <si>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</si>
  <si>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</si>
  <si>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</si>
  <si>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</si>
  <si>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</si>
  <si>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</si>
  <si>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</si>
  <si>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</si>
  <si>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</si>
  <si>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</si>
  <si>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</si>
  <si>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</si>
  <si>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</si>
  <si>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</si>
  <si>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</si>
  <si>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</si>
  <si>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</si>
  <si>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</si>
  <si>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</si>
  <si>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</si>
  <si>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</si>
  <si>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</si>
  <si>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</si>
  <si>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</si>
  <si>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</si>
  <si>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</si>
  <si>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</si>
  <si>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</si>
  <si>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</si>
  <si>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</si>
  <si>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</si>
  <si>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</si>
  <si>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</si>
  <si>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</si>
  <si>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</si>
  <si>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</si>
  <si>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</si>
  <si>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</si>
  <si>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</si>
  <si>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</si>
  <si>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</si>
  <si>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</si>
  <si>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</si>
  <si>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</si>
  <si>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</si>
  <si>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</si>
  <si>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</si>
  <si>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</si>
  <si>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</si>
  <si>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</si>
  <si>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</si>
  <si>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</si>
  <si>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</si>
  <si>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</si>
  <si>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</si>
  <si>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</si>
  <si>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</si>
  <si>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</si>
  <si>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</si>
  <si>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</si>
  <si>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</si>
  <si>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</si>
  <si>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</si>
  <si>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</si>
  <si>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</si>
  <si>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</si>
  <si>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</si>
  <si>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</si>
  <si>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</si>
  <si>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</si>
  <si>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</si>
  <si>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</si>
  <si>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</si>
  <si>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</si>
  <si>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</si>
  <si>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</si>
  <si>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</si>
  <si>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</si>
  <si>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</si>
  <si>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</si>
  <si>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</si>
  <si>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</si>
  <si>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</si>
  <si>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</si>
  <si>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</si>
  <si>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</si>
  <si>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</si>
  <si>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</si>
  <si>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</si>
  <si>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</si>
  <si>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</si>
  <si>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</si>
  <si>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</si>
  <si>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</si>
  <si>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</si>
  <si>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</si>
  <si>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</si>
  <si>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</si>
  <si>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</si>
  <si>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</si>
  <si>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</si>
  <si>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</si>
  <si>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</si>
  <si>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</si>
  <si>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</si>
  <si>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</si>
  <si>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</si>
  <si>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</si>
  <si>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</si>
  <si>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</si>
  <si>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</si>
  <si>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</si>
  <si>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</si>
  <si>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</si>
  <si>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</si>
  <si>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</si>
  <si>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</si>
  <si>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</si>
  <si>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</si>
  <si>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</si>
  <si>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</si>
  <si>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</si>
  <si>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</si>
  <si>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</si>
  <si>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</si>
  <si>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</si>
  <si>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</si>
  <si>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</si>
  <si>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</si>
  <si>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</si>
  <si>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</si>
  <si>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</si>
  <si>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</si>
  <si>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</si>
  <si>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</si>
  <si>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</si>
  <si>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</si>
  <si>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</si>
  <si>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</si>
  <si>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</si>
  <si>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</si>
  <si>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</si>
  <si>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</si>
  <si>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</si>
  <si>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</si>
  <si>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</si>
  <si>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</si>
  <si>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</si>
  <si>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</si>
  <si>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</si>
  <si>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</si>
  <si>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</si>
  <si>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</si>
  <si>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</si>
  <si>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</si>
  <si>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</si>
  <si>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</si>
  <si>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</si>
  <si>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</si>
  <si>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</si>
  <si>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</si>
  <si>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</si>
  <si>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</si>
  <si>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</si>
  <si>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</si>
  <si>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</si>
  <si>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</si>
  <si>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</si>
  <si>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</si>
  <si>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</si>
  <si>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</si>
  <si>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</si>
  <si>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</si>
  <si>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</si>
  <si>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</si>
  <si>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</si>
  <si>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</si>
  <si>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</si>
  <si>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</si>
  <si>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</si>
  <si>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</si>
  <si>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</si>
  <si>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</si>
  <si>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</si>
  <si>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</si>
  <si>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</si>
  <si>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</si>
  <si>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</si>
  <si>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</si>
  <si>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</si>
  <si>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</si>
  <si>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</si>
  <si>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</si>
  <si>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</si>
  <si>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</si>
  <si>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</si>
  <si>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</si>
  <si>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</si>
  <si>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</si>
  <si>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</si>
  <si>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</si>
  <si>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</si>
  <si>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</si>
  <si>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</si>
  <si>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</si>
  <si>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</si>
  <si>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</si>
  <si>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</si>
  <si>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</si>
  <si>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</si>
  <si>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</si>
  <si>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</si>
  <si>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</si>
  <si>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</si>
  <si>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</si>
  <si>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</si>
  <si>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</si>
  <si>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</si>
  <si>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</si>
  <si>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</si>
  <si>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</si>
  <si>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</si>
  <si>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</si>
  <si>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</si>
  <si>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</si>
  <si>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</si>
  <si>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</si>
  <si>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</si>
  <si>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</si>
  <si>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</si>
  <si>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</si>
  <si>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</si>
  <si>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</si>
  <si>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</si>
  <si>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</si>
  <si>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</si>
  <si>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</si>
  <si>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</si>
  <si>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</si>
  <si>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</si>
  <si>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</si>
  <si>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</si>
  <si>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</si>
  <si>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</si>
  <si>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</si>
  <si>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</si>
  <si>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</si>
  <si>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</si>
  <si>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</si>
  <si>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</si>
  <si>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</si>
  <si>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</si>
  <si>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</si>
  <si>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</si>
  <si>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</si>
  <si>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</si>
  <si>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</si>
  <si>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</si>
  <si>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</si>
  <si>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</si>
  <si>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</si>
  <si>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</si>
  <si>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</si>
  <si>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</si>
  <si>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</si>
  <si>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</si>
  <si>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</si>
  <si>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</si>
  <si>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</si>
  <si>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</si>
  <si>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</si>
  <si>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</si>
  <si>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</si>
  <si>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</si>
  <si>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</si>
  <si>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</si>
  <si>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</si>
  <si>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</si>
  <si>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</si>
  <si>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</si>
  <si>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</si>
  <si>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</si>
  <si>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</si>
  <si>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</si>
  <si>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</si>
  <si>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</si>
  <si>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</si>
  <si>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</si>
  <si>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</si>
  <si>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</si>
  <si>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</si>
  <si>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</si>
  <si>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</si>
  <si>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</si>
  <si>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</si>
  <si>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</si>
  <si>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</si>
  <si>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</si>
  <si>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</si>
  <si>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</si>
  <si>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</si>
  <si>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</si>
  <si>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</si>
  <si>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</si>
  <si>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</si>
  <si>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</si>
  <si>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</si>
  <si>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</si>
  <si>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</si>
  <si>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</si>
  <si>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</si>
  <si>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</si>
  <si>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</si>
  <si>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</si>
  <si>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</si>
  <si>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</si>
  <si>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</si>
  <si>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</si>
  <si>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</si>
  <si>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</si>
  <si>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</si>
  <si>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</si>
  <si>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</si>
  <si>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</si>
  <si>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</si>
  <si>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</si>
  <si>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</si>
  <si>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</si>
  <si>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</si>
  <si>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</si>
  <si>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</si>
  <si>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</si>
  <si>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</si>
  <si>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</si>
  <si>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</si>
  <si>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</si>
  <si>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</si>
  <si>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</si>
  <si>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</si>
  <si>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</si>
  <si>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</si>
  <si>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</si>
  <si>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</si>
  <si>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</si>
  <si>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</si>
  <si>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</si>
  <si>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</si>
  <si>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</si>
  <si>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</si>
  <si>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</si>
  <si>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</si>
  <si>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</si>
  <si>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</si>
  <si>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</si>
  <si>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</si>
  <si>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</si>
  <si>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</si>
  <si>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</si>
  <si>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</si>
  <si>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</si>
  <si>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</si>
  <si>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</si>
  <si>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</si>
  <si>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</si>
  <si>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</si>
  <si>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</si>
  <si>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</si>
  <si>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</si>
  <si>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</si>
  <si>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</si>
  <si>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</si>
  <si>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</si>
  <si>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</si>
  <si>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</si>
  <si>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</si>
  <si>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</si>
  <si>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</si>
  <si>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</si>
  <si>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</si>
  <si>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</si>
  <si>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</si>
  <si>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</si>
  <si>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</si>
  <si>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</si>
  <si>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</si>
  <si>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</si>
  <si>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</si>
  <si>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</si>
  <si>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</si>
  <si>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</si>
  <si>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</si>
  <si>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</si>
  <si>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</si>
  <si>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</si>
  <si>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</si>
  <si>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</si>
  <si>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</si>
  <si>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</si>
  <si>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</si>
  <si>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</si>
  <si>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</si>
  <si>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</si>
  <si>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</si>
  <si>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</si>
  <si>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</si>
  <si>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</si>
  <si>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</si>
  <si>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</si>
  <si>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</si>
  <si>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</si>
  <si>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</si>
  <si>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</si>
  <si>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</si>
  <si>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</si>
  <si>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</si>
  <si>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</si>
  <si>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</si>
  <si>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</si>
  <si>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</si>
  <si>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</si>
  <si>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</si>
  <si>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</si>
  <si>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</si>
  <si>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</si>
  <si>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</si>
  <si>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</si>
  <si>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</si>
  <si>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</si>
  <si>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</si>
  <si>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</si>
  <si>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</si>
  <si>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</si>
  <si>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</si>
  <si>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</si>
  <si>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</si>
  <si>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</si>
  <si>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</si>
  <si>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</si>
  <si>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</si>
  <si>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</si>
  <si>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</si>
  <si>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</si>
  <si>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</si>
  <si>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</si>
  <si>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</si>
  <si>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</si>
  <si>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</si>
  <si>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</si>
  <si>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</si>
  <si>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</si>
  <si>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</si>
  <si>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</si>
  <si>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</si>
  <si>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</si>
  <si>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</si>
  <si>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</si>
  <si>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</si>
  <si>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</si>
  <si>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</si>
  <si>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</si>
  <si>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</si>
  <si>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</si>
  <si>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</si>
  <si>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</si>
  <si>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</si>
  <si>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</si>
  <si>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</si>
  <si>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</si>
  <si>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</si>
  <si>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</si>
  <si>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</si>
  <si>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</si>
  <si>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</si>
  <si>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</si>
  <si>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</si>
  <si>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</si>
  <si>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</si>
  <si>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</si>
  <si>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</si>
  <si>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</si>
  <si>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</si>
  <si>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</si>
  <si>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</si>
  <si>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</si>
  <si>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</si>
  <si>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</si>
  <si>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</si>
  <si>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</si>
  <si>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</si>
  <si>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</si>
  <si>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</si>
  <si>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</si>
  <si>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</si>
  <si>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</si>
  <si>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</si>
  <si>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</si>
  <si>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</si>
  <si>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</si>
  <si>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</si>
  <si>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</si>
  <si>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</si>
  <si>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</si>
  <si>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</si>
  <si>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</si>
  <si>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</si>
  <si>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</si>
  <si>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</si>
  <si>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</si>
  <si>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</si>
  <si>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</si>
  <si>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</si>
  <si>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</si>
  <si>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</si>
  <si>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</si>
  <si>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</si>
  <si>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</si>
  <si>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</si>
  <si>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</si>
  <si>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</si>
  <si>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</si>
  <si>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</si>
  <si>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</si>
  <si>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</si>
  <si>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</si>
  <si>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</si>
  <si>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</si>
  <si>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</si>
  <si>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</si>
  <si>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</si>
  <si>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</si>
  <si>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</si>
  <si>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</si>
  <si>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</si>
  <si>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</si>
  <si>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</si>
  <si>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</si>
  <si>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</si>
  <si>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</si>
  <si>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</si>
  <si>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</si>
  <si>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</si>
  <si>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</si>
  <si>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</si>
  <si>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</si>
  <si>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</si>
  <si>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</si>
  <si>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</si>
  <si>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</si>
  <si>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</si>
  <si>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</si>
  <si>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</si>
  <si>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</si>
  <si>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</si>
  <si>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</si>
  <si>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</si>
  <si>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</si>
  <si>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</si>
  <si>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</si>
  <si>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</si>
  <si>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</si>
  <si>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</si>
  <si>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</si>
  <si>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</si>
  <si>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</si>
  <si>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</si>
  <si>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</si>
  <si>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</si>
  <si>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</si>
  <si>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</si>
  <si>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</si>
  <si>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</si>
  <si>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</si>
  <si>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</si>
  <si>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</si>
  <si>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</si>
  <si>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</si>
  <si>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</si>
  <si>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</si>
  <si>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</si>
  <si>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</si>
  <si>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</si>
  <si>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</si>
  <si>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</si>
  <si>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</si>
  <si>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</si>
  <si>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</si>
  <si>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</si>
  <si>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</si>
  <si>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</si>
  <si>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</si>
  <si>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</si>
  <si>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</si>
  <si>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</si>
  <si>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</si>
  <si>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</si>
  <si>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</si>
  <si>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</si>
  <si>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</si>
  <si>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</si>
  <si>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</si>
  <si>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</si>
  <si>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</si>
  <si>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</si>
  <si>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</si>
  <si>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</si>
  <si>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</si>
  <si>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</si>
  <si>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</si>
  <si>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</si>
  <si>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</si>
  <si>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</si>
  <si>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</si>
  <si>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</si>
  <si>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</si>
  <si>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</si>
  <si>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</si>
  <si>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</si>
  <si>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</si>
  <si>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</si>
  <si>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</si>
  <si>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</si>
  <si>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</si>
  <si>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</si>
  <si>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</si>
  <si>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</si>
  <si>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</si>
  <si>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</si>
  <si>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</si>
  <si>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</si>
  <si>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</si>
  <si>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</si>
  <si>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</si>
  <si>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</si>
  <si>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</si>
  <si>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</si>
  <si>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</si>
  <si>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</si>
  <si>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</si>
  <si>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</si>
  <si>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</si>
  <si>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</si>
  <si>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</si>
  <si>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</si>
  <si>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</si>
  <si>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</si>
  <si>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</si>
  <si>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</si>
  <si>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</si>
  <si>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</si>
  <si>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</si>
  <si>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</si>
  <si>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</si>
  <si>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</si>
  <si>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</si>
  <si>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</si>
  <si>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</si>
  <si>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</si>
  <si>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</si>
  <si>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</si>
  <si>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</si>
  <si>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</si>
  <si>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</si>
  <si>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</si>
  <si>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</si>
  <si>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</si>
  <si>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</si>
  <si>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</si>
  <si>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</si>
  <si>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</si>
  <si>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</si>
  <si>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</si>
  <si>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</si>
  <si>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</si>
  <si>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</si>
  <si>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</si>
  <si>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</si>
  <si>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</si>
  <si>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</si>
  <si>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</si>
  <si>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</si>
  <si>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</si>
  <si>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</si>
  <si>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</si>
  <si>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</si>
  <si>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</si>
  <si>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</si>
  <si>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</si>
  <si>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</si>
  <si>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</si>
  <si>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</si>
  <si>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</si>
  <si>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</si>
  <si>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</si>
  <si>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</si>
  <si>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</si>
  <si>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</si>
  <si>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</si>
  <si>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</si>
  <si>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</si>
  <si>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</si>
  <si>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</si>
  <si>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</si>
  <si>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</si>
  <si>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</si>
  <si>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</si>
  <si>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</si>
  <si>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</si>
  <si>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</si>
  <si>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</si>
  <si>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</si>
  <si>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</si>
  <si>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</si>
  <si>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</si>
  <si>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</si>
  <si>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</si>
  <si>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</si>
  <si>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</si>
  <si>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</si>
  <si>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</si>
  <si>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</si>
  <si>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</si>
  <si>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</si>
  <si>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</si>
  <si>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</si>
  <si>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</si>
  <si>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</si>
  <si>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</si>
  <si>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</si>
  <si>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</si>
  <si>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</si>
  <si>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</si>
  <si>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</si>
  <si>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</si>
  <si>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</si>
  <si>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</si>
  <si>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</si>
  <si>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</si>
  <si>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</si>
  <si>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</si>
  <si>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</si>
  <si>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</si>
  <si>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</si>
  <si>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</si>
  <si>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</si>
  <si>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</si>
  <si>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</si>
  <si>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</si>
  <si>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</si>
  <si>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</si>
  <si>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</si>
  <si>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</si>
  <si>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</si>
  <si>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</si>
  <si>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</si>
  <si>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</si>
  <si>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</si>
  <si>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</si>
  <si>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</si>
  <si>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</si>
  <si>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</si>
  <si>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</si>
  <si>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</si>
  <si>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</si>
  <si>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</si>
  <si>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</si>
  <si>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</si>
  <si>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</si>
  <si>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</si>
  <si>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</si>
  <si>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</si>
  <si>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</si>
  <si>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</si>
  <si>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</si>
  <si>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</si>
  <si>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</si>
  <si>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</si>
  <si>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</si>
  <si>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</si>
  <si>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</si>
  <si>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</si>
  <si>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</si>
  <si>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</si>
  <si>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</si>
  <si>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</si>
  <si>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</si>
  <si>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</si>
  <si>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</si>
  <si>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</si>
  <si>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</si>
  <si>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</si>
  <si>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</si>
  <si>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</si>
  <si>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</si>
  <si>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</si>
  <si>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</si>
  <si>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</si>
  <si>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</si>
  <si>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</si>
  <si>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</si>
  <si>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</si>
  <si>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</si>
  <si>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</si>
  <si>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</si>
  <si>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</si>
  <si>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</si>
  <si>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</si>
  <si>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</si>
  <si>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</si>
  <si>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</si>
  <si>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</si>
  <si>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</si>
  <si>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</si>
  <si>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</si>
  <si>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</si>
  <si>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</si>
  <si>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</si>
  <si>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</si>
  <si>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</si>
  <si>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</si>
  <si>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</si>
  <si>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</si>
  <si>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</si>
  <si>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</si>
  <si>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</si>
  <si>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</si>
  <si>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</si>
  <si>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</si>
  <si>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</si>
  <si>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</si>
  <si>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</si>
  <si>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</si>
  <si>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</si>
  <si>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</si>
  <si>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</si>
  <si>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</si>
  <si>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</si>
  <si>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</si>
  <si>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</si>
  <si>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</si>
  <si>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</si>
  <si>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</si>
  <si>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</si>
  <si>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</si>
  <si>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</si>
  <si>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</si>
  <si>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</si>
  <si>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</si>
  <si>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</si>
  <si>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</si>
  <si>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</si>
  <si>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</si>
  <si>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</si>
  <si>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</si>
  <si>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</si>
  <si>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</si>
  <si>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</si>
  <si>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</si>
  <si>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</si>
  <si>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</si>
  <si>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</si>
  <si>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</si>
  <si>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</si>
  <si>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</si>
  <si>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</si>
  <si>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</si>
  <si>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</si>
  <si>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</si>
  <si>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</si>
  <si>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</si>
  <si>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</si>
  <si>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</si>
  <si>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</si>
  <si>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</si>
  <si>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</si>
  <si>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</si>
  <si>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</si>
  <si>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</si>
  <si>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</si>
  <si>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</si>
  <si>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</si>
  <si>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</si>
  <si>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</si>
  <si>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</si>
  <si>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</si>
  <si>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</si>
  <si>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</si>
  <si>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</si>
  <si>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</si>
  <si>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</si>
  <si>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</si>
  <si>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</si>
  <si>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</si>
  <si>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</si>
  <si>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</si>
  <si>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</si>
  <si>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</si>
  <si>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</si>
  <si>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</si>
  <si>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</si>
  <si>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</si>
  <si>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</si>
  <si>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</si>
  <si>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</si>
  <si>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</si>
  <si>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</si>
  <si>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</si>
  <si>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</si>
  <si>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</si>
  <si>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</si>
  <si>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</si>
  <si>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</si>
  <si>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</si>
  <si>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</si>
  <si>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</si>
  <si>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</si>
  <si>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</si>
  <si>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</si>
  <si>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</si>
  <si>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</si>
  <si>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</si>
  <si>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</si>
  <si>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</si>
  <si>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</si>
  <si>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</si>
  <si>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</si>
  <si>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</si>
  <si>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</si>
  <si>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</si>
  <si>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</si>
  <si>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</si>
  <si>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</si>
  <si>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</si>
  <si>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</si>
  <si>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</si>
  <si>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</si>
  <si>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</si>
  <si>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</si>
  <si>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</si>
  <si>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</si>
  <si>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</si>
  <si>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</si>
  <si>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</si>
  <si>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</si>
  <si>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</si>
  <si>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</si>
  <si>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</si>
  <si>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</si>
  <si>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</si>
  <si>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</si>
  <si>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</si>
  <si>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</si>
  <si>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</si>
  <si>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</si>
  <si>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</si>
  <si>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</si>
  <si>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</si>
  <si>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</si>
  <si>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</si>
  <si>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</si>
  <si>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</si>
  <si>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</si>
  <si>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</si>
  <si>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</si>
  <si>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</si>
  <si>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</si>
  <si>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</si>
  <si>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</si>
  <si>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</si>
  <si>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</si>
  <si>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</si>
  <si>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</si>
  <si>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</si>
  <si>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</si>
  <si>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</si>
  <si>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</si>
  <si>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</si>
  <si>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</si>
  <si>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</si>
  <si>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</si>
  <si>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</si>
  <si>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</si>
  <si>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</si>
  <si>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</si>
  <si>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</si>
  <si>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</si>
  <si>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</si>
  <si>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</si>
  <si>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</si>
  <si>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</si>
  <si>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</si>
  <si>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</si>
  <si>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</si>
  <si>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</si>
  <si>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</si>
  <si>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</si>
  <si>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</si>
  <si>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</si>
  <si>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</si>
  <si>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</si>
  <si>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</si>
  <si>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</si>
  <si>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</si>
  <si>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</si>
  <si>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</si>
  <si>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</si>
  <si>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</si>
  <si>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</si>
  <si>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</si>
  <si>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</si>
  <si>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</si>
  <si>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</si>
  <si>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</si>
  <si>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</si>
  <si>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</si>
  <si>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</si>
  <si>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</si>
  <si>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</si>
  <si>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</si>
  <si>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</si>
  <si>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</si>
  <si>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</si>
  <si>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</si>
  <si>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</si>
  <si>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</si>
  <si>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</si>
  <si>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</si>
  <si>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</si>
  <si>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</si>
  <si>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</si>
  <si>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</si>
  <si>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</si>
  <si>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</si>
  <si>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</si>
  <si>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</si>
  <si>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</si>
  <si>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</si>
  <si>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</si>
  <si>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</si>
  <si>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</si>
  <si>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</si>
  <si>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</si>
  <si>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</si>
  <si>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</si>
  <si>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</si>
  <si>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</si>
  <si>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</si>
  <si>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</si>
  <si>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</si>
  <si>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</si>
  <si>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</si>
  <si>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</si>
  <si>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</si>
  <si>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</si>
  <si>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</si>
  <si>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</si>
  <si>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</si>
  <si>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</si>
  <si>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</si>
  <si>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</si>
  <si>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</si>
  <si>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</si>
  <si>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</si>
  <si>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</si>
  <si>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</si>
  <si>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</si>
  <si>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</si>
  <si>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</si>
  <si>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</si>
  <si>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</si>
  <si>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</si>
  <si>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</si>
  <si>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</si>
  <si>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</si>
  <si>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</si>
  <si>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</si>
  <si>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</si>
  <si>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</si>
  <si>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</si>
  <si>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</si>
  <si>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</si>
  <si>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</si>
  <si>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</si>
  <si>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</si>
  <si>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</si>
  <si>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</si>
  <si>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</si>
  <si>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</si>
  <si>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</si>
  <si>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</si>
  <si>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</si>
  <si>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</si>
  <si>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</si>
  <si>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</si>
  <si>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</si>
  <si>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</si>
  <si>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</si>
  <si>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</si>
  <si>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</si>
  <si>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</si>
  <si>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</si>
  <si>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</si>
  <si>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</si>
  <si>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</si>
  <si>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</si>
  <si>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</si>
  <si>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</si>
  <si>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</si>
  <si>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</si>
  <si>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</si>
  <si>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</si>
  <si>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</si>
  <si>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</si>
  <si>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</si>
  <si>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</si>
  <si>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</si>
  <si>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</si>
  <si>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</si>
  <si>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</si>
  <si>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</si>
  <si>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</si>
  <si>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</si>
  <si>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</si>
  <si>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</si>
  <si>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</si>
  <si>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</si>
  <si>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</si>
  <si>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</si>
  <si>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</si>
  <si>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</si>
  <si>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</si>
  <si>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</si>
  <si>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</si>
  <si>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</si>
  <si>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</si>
  <si>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</si>
  <si>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</si>
  <si>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</si>
  <si>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</si>
  <si>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</si>
  <si>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</si>
  <si>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</si>
  <si>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</si>
  <si>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</si>
  <si>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</si>
  <si>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</si>
  <si>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</si>
  <si>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</si>
  <si>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</si>
  <si>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</si>
  <si>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</si>
  <si>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</si>
  <si>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</si>
  <si>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</si>
  <si>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</si>
  <si>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</si>
  <si>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</si>
  <si>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</si>
  <si>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</si>
  <si>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</si>
  <si>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</si>
  <si>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</si>
  <si>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</si>
  <si>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</si>
  <si>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</si>
  <si>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</si>
  <si>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</si>
  <si>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</si>
  <si>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</si>
  <si>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</si>
  <si>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</si>
  <si>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</si>
  <si>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</si>
  <si>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</si>
  <si>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</si>
  <si>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</si>
  <si>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</si>
  <si>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</si>
  <si>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</si>
  <si>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</si>
  <si>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</si>
  <si>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</si>
  <si>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</si>
  <si>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</si>
  <si>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</si>
  <si>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</si>
  <si>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</si>
  <si>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</si>
  <si>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</si>
  <si>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</si>
  <si>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</si>
  <si>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</si>
  <si>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</si>
  <si>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</si>
  <si>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</si>
  <si>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</si>
  <si>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</si>
  <si>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</si>
  <si>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</si>
  <si>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</si>
  <si>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</si>
  <si>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</si>
  <si>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</si>
  <si>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</si>
  <si>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</si>
  <si>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</si>
  <si>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</si>
  <si>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</si>
  <si>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</si>
  <si>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</si>
  <si>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</si>
  <si>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</si>
  <si>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</si>
  <si>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</si>
  <si>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</si>
  <si>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</si>
  <si>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</si>
  <si>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</si>
  <si>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</si>
  <si>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</si>
  <si>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</si>
  <si>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</si>
  <si>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</si>
  <si>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</si>
  <si>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</si>
  <si>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</si>
  <si>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</si>
  <si>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</si>
  <si>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</si>
  <si>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</si>
  <si>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</si>
  <si>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</si>
  <si>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</si>
  <si>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</si>
  <si>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</si>
  <si>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</si>
  <si>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</si>
  <si>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</si>
  <si>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</si>
  <si>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</si>
  <si>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</si>
  <si>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</si>
  <si>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</si>
  <si>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</si>
  <si>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</si>
  <si>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</si>
  <si>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</si>
  <si>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</si>
  <si>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</si>
  <si>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</si>
  <si>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</si>
  <si>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</si>
  <si>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</si>
  <si>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</si>
  <si>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</si>
  <si>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</si>
  <si>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</si>
  <si>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</si>
  <si>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</si>
  <si>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</si>
  <si>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</si>
  <si>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</si>
  <si>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</si>
  <si>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</si>
  <si>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</si>
  <si>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</si>
  <si>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</si>
  <si>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</si>
  <si>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</si>
  <si>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</si>
  <si>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</si>
  <si>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</si>
  <si>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</si>
  <si>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</si>
  <si>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</si>
  <si>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</si>
  <si>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</si>
  <si>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</si>
  <si>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</si>
  <si>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</si>
  <si>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</si>
  <si>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</si>
  <si>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</si>
  <si>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</si>
  <si>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</si>
  <si>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</si>
  <si>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</si>
  <si>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</si>
  <si>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</si>
  <si>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</si>
  <si>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</si>
  <si>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</si>
  <si>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</si>
  <si>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</si>
  <si>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</si>
  <si>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</si>
  <si>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</si>
  <si>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</si>
  <si>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</si>
  <si>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</si>
  <si>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</si>
  <si>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</si>
  <si>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</si>
  <si>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</si>
  <si>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</si>
  <si>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</si>
  <si>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</si>
  <si>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</si>
  <si>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</si>
  <si>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</si>
  <si>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</si>
  <si>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</si>
  <si>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</si>
  <si>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</si>
  <si>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</si>
  <si>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</si>
  <si>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</si>
  <si>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</si>
  <si>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</si>
  <si>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</si>
  <si>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</si>
  <si>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</si>
  <si>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</si>
  <si>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</si>
  <si>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</si>
  <si>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</si>
  <si>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</si>
  <si>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</si>
  <si>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</si>
  <si>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</si>
  <si>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</si>
  <si>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</si>
  <si>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</si>
  <si>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</si>
  <si>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</si>
  <si>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</si>
  <si>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</si>
  <si>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</si>
  <si>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</si>
  <si>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</si>
  <si>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</si>
  <si>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</si>
  <si>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</si>
  <si>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</si>
  <si>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</si>
  <si>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</si>
  <si>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</si>
  <si>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</si>
  <si>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</si>
  <si>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</si>
  <si>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</si>
  <si>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</si>
  <si>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</si>
  <si>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</si>
  <si>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</si>
  <si>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</si>
  <si>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</si>
  <si>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</si>
  <si>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</si>
  <si>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</si>
  <si>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</si>
  <si>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</si>
  <si>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</si>
  <si>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</si>
  <si>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</si>
  <si>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</si>
  <si>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</si>
  <si>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</si>
  <si>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</si>
  <si>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</si>
  <si>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</si>
  <si>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</si>
  <si>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</si>
  <si>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</si>
  <si>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</si>
  <si>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</si>
  <si>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</si>
  <si>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</si>
  <si>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</si>
  <si>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</si>
  <si>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</si>
  <si>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</si>
  <si>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</si>
  <si>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</si>
  <si>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</si>
  <si>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</si>
  <si>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</si>
  <si>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</si>
  <si>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</si>
  <si>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</si>
  <si>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</si>
  <si>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</si>
  <si>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</si>
  <si>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</si>
  <si>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</si>
  <si>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</si>
  <si>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</si>
  <si>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</si>
  <si>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</si>
  <si>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</si>
  <si>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</si>
  <si>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</si>
  <si>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</si>
  <si>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</si>
  <si>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</si>
  <si>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</si>
  <si>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</si>
  <si>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</si>
  <si>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</si>
  <si>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</si>
  <si>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</si>
  <si>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</si>
  <si>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</si>
  <si>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</si>
  <si>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</si>
  <si>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</si>
  <si>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</si>
  <si>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</si>
  <si>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</si>
  <si>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</si>
  <si>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</si>
  <si>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</si>
  <si>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</si>
  <si>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</si>
  <si>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</si>
  <si>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</si>
  <si>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</si>
  <si>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</si>
  <si>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</si>
  <si>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</si>
  <si>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</si>
  <si>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</si>
  <si>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</si>
  <si>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</si>
  <si>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</si>
  <si>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</si>
  <si>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</si>
  <si>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</si>
  <si>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</si>
  <si>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</si>
  <si>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</si>
  <si>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</si>
  <si>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</si>
  <si>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</si>
  <si>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</si>
  <si>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</si>
  <si>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</si>
  <si>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</si>
  <si>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</si>
  <si>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</si>
  <si>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</si>
  <si>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</si>
  <si>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</si>
  <si>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</si>
  <si>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</si>
  <si>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</si>
  <si>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</si>
  <si>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</si>
  <si>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</si>
  <si>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</si>
  <si>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</si>
  <si>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</si>
  <si>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</si>
  <si>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</si>
  <si>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</si>
  <si>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</si>
  <si>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</si>
  <si>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</si>
  <si>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</si>
  <si>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</si>
  <si>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</si>
  <si>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</si>
  <si>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</si>
  <si>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</si>
  <si>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</si>
  <si>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</si>
  <si>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</si>
  <si>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</si>
  <si>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</si>
  <si>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</si>
  <si>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</si>
  <si>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</si>
  <si>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</si>
  <si>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</si>
  <si>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</si>
  <si>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</si>
  <si>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</si>
  <si>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</si>
  <si>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</si>
  <si>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</si>
  <si>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</si>
  <si>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</si>
  <si>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</si>
  <si>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</si>
  <si>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</si>
  <si>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</si>
  <si>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</si>
  <si>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</si>
  <si>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</si>
  <si>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</si>
  <si>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</si>
  <si>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</si>
  <si>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</si>
  <si>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</si>
  <si>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</si>
  <si>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</si>
  <si>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</si>
  <si>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</si>
  <si>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</si>
  <si>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</si>
  <si>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</si>
  <si>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</si>
  <si>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</si>
  <si>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</si>
  <si>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</si>
  <si>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</si>
  <si>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</si>
  <si>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</si>
  <si>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</si>
  <si>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</si>
  <si>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</si>
  <si>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</si>
  <si>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</si>
  <si>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</si>
  <si>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</si>
  <si>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</si>
  <si>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</si>
  <si>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</si>
  <si>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</si>
  <si>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</si>
  <si>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</si>
  <si>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</si>
  <si>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</si>
  <si>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</si>
  <si>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</si>
  <si>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</si>
  <si>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</si>
  <si>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</si>
  <si>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</si>
  <si>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</si>
  <si>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</si>
  <si>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</si>
  <si>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</si>
  <si>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</si>
  <si>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</si>
  <si>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</si>
  <si>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</si>
  <si>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</si>
  <si>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</si>
  <si>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</si>
  <si>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</si>
  <si>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</si>
  <si>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</si>
  <si>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</si>
  <si>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</si>
  <si>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</si>
  <si>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</si>
  <si>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</si>
  <si>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</si>
  <si>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</si>
  <si>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</si>
  <si>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</si>
  <si>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</si>
  <si>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</si>
  <si>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</si>
  <si>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</si>
  <si>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</si>
  <si>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</si>
  <si>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</si>
  <si>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</si>
  <si>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</si>
  <si>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</si>
  <si>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</si>
  <si>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</si>
  <si>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</si>
  <si>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</si>
  <si>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</si>
  <si>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</si>
  <si>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</si>
  <si>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</si>
  <si>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</si>
  <si>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</si>
  <si>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</si>
  <si>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</si>
  <si>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</si>
  <si>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</si>
  <si>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</si>
  <si>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</si>
  <si>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</si>
  <si>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</si>
  <si>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</si>
  <si>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</si>
  <si>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</si>
  <si>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</si>
  <si>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</si>
  <si>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</si>
  <si>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</si>
  <si>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</si>
  <si>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</si>
  <si>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</si>
  <si>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</si>
  <si>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</si>
  <si>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</si>
  <si>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</si>
  <si>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</si>
  <si>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</si>
  <si>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</si>
  <si>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</si>
  <si>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</si>
  <si>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</si>
  <si>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</si>
  <si>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</si>
  <si>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</si>
  <si>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</si>
  <si>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</si>
  <si>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</si>
  <si>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</si>
  <si>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</si>
  <si>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</si>
  <si>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</si>
  <si>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</si>
  <si>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</si>
  <si>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</si>
  <si>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</si>
  <si>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</si>
  <si>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</si>
  <si>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</si>
  <si>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</si>
  <si>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</si>
  <si>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</si>
  <si>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</si>
  <si>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</si>
  <si>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</si>
  <si>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</si>
  <si>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</si>
  <si>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</si>
  <si>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</si>
  <si>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</si>
  <si>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</si>
  <si>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</si>
  <si>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</si>
  <si>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</si>
  <si>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</si>
  <si>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</si>
  <si>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</si>
  <si>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</si>
  <si>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</si>
  <si>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</si>
  <si>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</si>
  <si>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</si>
  <si>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</si>
  <si>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</si>
  <si>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</si>
  <si>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</si>
  <si>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</si>
  <si>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</si>
  <si>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</si>
  <si>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</si>
  <si>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</si>
  <si>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</si>
  <si>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</si>
  <si>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</si>
  <si>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</si>
  <si>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</si>
  <si>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</si>
  <si>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</si>
  <si>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</si>
  <si>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</si>
  <si>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</si>
  <si>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</si>
  <si>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</si>
  <si>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</si>
  <si>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</si>
  <si>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</si>
  <si>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</si>
  <si>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</si>
  <si>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</si>
  <si>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</si>
  <si>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</si>
  <si>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</si>
  <si>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</si>
  <si>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</si>
  <si>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</si>
  <si>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</si>
  <si>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</si>
  <si>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</si>
  <si>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</si>
  <si>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</si>
  <si>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</si>
  <si>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</si>
  <si>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</si>
  <si>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</si>
  <si>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</si>
  <si>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</si>
  <si>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</si>
  <si>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</si>
  <si>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</si>
  <si>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</si>
  <si>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</si>
  <si>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</si>
  <si>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</si>
  <si>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</si>
  <si>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</si>
  <si>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</si>
  <si>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</si>
  <si>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</si>
  <si>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</si>
  <si>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</si>
  <si>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</si>
  <si>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</si>
  <si>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</si>
  <si>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</si>
  <si>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</si>
  <si>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</si>
  <si>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</si>
  <si>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</si>
  <si>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</si>
  <si>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</si>
  <si>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</si>
  <si>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</si>
  <si>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</si>
  <si>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</si>
  <si>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</si>
  <si>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</si>
  <si>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</si>
  <si>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</si>
  <si>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</si>
  <si>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</si>
  <si>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</si>
  <si>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</si>
  <si>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</si>
  <si>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</si>
  <si>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</si>
  <si>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</si>
  <si>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</si>
  <si>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</si>
  <si>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</si>
  <si>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</si>
  <si>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</si>
  <si>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</si>
  <si>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</si>
  <si>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</si>
  <si>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</si>
  <si>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</si>
  <si>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</si>
  <si>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</si>
  <si>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</si>
  <si>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</si>
  <si>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</si>
  <si>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</si>
  <si>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</si>
  <si>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</si>
  <si>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</si>
  <si>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</si>
  <si>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</si>
  <si>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</si>
  <si>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</si>
  <si>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</si>
  <si>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</si>
  <si>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</si>
  <si>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</si>
  <si>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</si>
  <si>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</si>
  <si>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</si>
  <si>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</si>
  <si>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</si>
  <si>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</si>
  <si>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</si>
  <si>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</si>
  <si>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</si>
  <si>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</si>
  <si>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</si>
  <si>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</si>
  <si>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</si>
  <si>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</si>
  <si>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</si>
  <si>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</si>
  <si>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</si>
  <si>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</si>
  <si>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</si>
  <si>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</si>
  <si>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</si>
  <si>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</si>
  <si>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</si>
  <si>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</si>
  <si>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</si>
  <si>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</si>
  <si>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</si>
  <si>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</si>
  <si>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</si>
  <si>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</si>
  <si>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</si>
  <si>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</si>
  <si>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</si>
  <si>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</si>
  <si>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</si>
  <si>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</si>
  <si>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</si>
  <si>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</si>
  <si>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</si>
  <si>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</si>
  <si>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</si>
  <si>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</si>
  <si>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</si>
  <si>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</si>
  <si>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</si>
  <si>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</si>
  <si>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</si>
  <si>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</si>
  <si>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</si>
  <si>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</si>
  <si>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</si>
  <si>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</si>
  <si>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</si>
  <si>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</si>
  <si>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</si>
  <si>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</si>
  <si>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</si>
  <si>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</si>
  <si>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</si>
  <si>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</si>
  <si>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</si>
  <si>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</si>
  <si>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</si>
  <si>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</si>
  <si>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</si>
  <si>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</si>
  <si>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</si>
  <si>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</si>
  <si>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</si>
  <si>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</si>
  <si>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</si>
  <si>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</si>
  <si>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</si>
  <si>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</si>
  <si>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</si>
  <si>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</si>
  <si>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</si>
  <si>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</si>
  <si>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</si>
  <si>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</si>
  <si>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</si>
  <si>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</si>
  <si>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</si>
  <si>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</si>
  <si>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</si>
  <si>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</si>
  <si>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</si>
  <si>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</si>
  <si>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</si>
  <si>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</si>
  <si>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</si>
  <si>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</si>
  <si>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</si>
  <si>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</si>
  <si>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</si>
  <si>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</si>
  <si>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</si>
  <si>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</si>
  <si>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</si>
  <si>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</si>
  <si>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</si>
  <si>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</si>
  <si>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</si>
  <si>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</si>
  <si>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</si>
  <si>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</si>
  <si>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</si>
  <si>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</si>
  <si>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</si>
  <si>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</si>
  <si>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</si>
  <si>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</si>
  <si>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</si>
  <si>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</si>
  <si>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</si>
  <si>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</si>
  <si>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</si>
  <si>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</si>
  <si>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</si>
  <si>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</si>
  <si>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</si>
  <si>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</si>
  <si>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</si>
  <si>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</si>
  <si>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</si>
  <si>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</si>
  <si>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</si>
  <si>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</si>
  <si>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</si>
  <si>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</si>
  <si>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</si>
  <si>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</si>
  <si>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</si>
  <si>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</si>
  <si>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</si>
  <si>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</si>
  <si>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</si>
  <si>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</si>
  <si>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</si>
  <si>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</si>
  <si>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</si>
  <si>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</si>
  <si>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</si>
  <si>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</si>
  <si>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</si>
  <si>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</si>
  <si>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</si>
  <si>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</si>
  <si>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</si>
  <si>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</si>
  <si>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</si>
  <si>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</si>
  <si>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</si>
  <si>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</si>
  <si>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</si>
  <si>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</si>
  <si>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</si>
  <si>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</si>
  <si>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</si>
  <si>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</si>
  <si>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</si>
  <si>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</si>
  <si>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</si>
  <si>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</si>
  <si>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</si>
  <si>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</si>
  <si>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</si>
  <si>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</si>
  <si>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</si>
  <si>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</si>
  <si>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</si>
  <si>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</si>
  <si>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</si>
  <si>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</si>
  <si>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</si>
  <si>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</si>
  <si>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</si>
  <si>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</si>
  <si>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</si>
  <si>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</si>
  <si>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</si>
  <si>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</si>
  <si>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</si>
  <si>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</si>
  <si>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</si>
  <si>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</si>
  <si>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</si>
  <si>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</si>
  <si>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</si>
  <si>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</si>
  <si>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</si>
  <si>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</si>
  <si>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</si>
  <si>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</si>
  <si>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</si>
  <si>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</si>
  <si>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</si>
  <si>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</si>
  <si>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</si>
  <si>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</si>
  <si>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</si>
  <si>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</si>
  <si>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</si>
  <si>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</si>
  <si>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</si>
  <si>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</si>
  <si>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</si>
  <si>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</si>
  <si>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</si>
  <si>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</si>
  <si>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</si>
  <si>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</si>
  <si>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</si>
  <si>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</si>
  <si>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</si>
  <si>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</si>
  <si>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</si>
  <si>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</si>
  <si>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</si>
  <si>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</si>
  <si>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</si>
  <si>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</si>
  <si>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</si>
  <si>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</si>
  <si>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</si>
  <si>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</si>
  <si>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</si>
  <si>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</si>
  <si>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</si>
  <si>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</si>
  <si>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</si>
  <si>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</si>
  <si>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</si>
  <si>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</si>
  <si>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</si>
  <si>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</si>
  <si>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</si>
  <si>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</si>
  <si>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</si>
  <si>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</si>
  <si>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</si>
  <si>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</si>
  <si>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</si>
  <si>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</si>
  <si>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</si>
  <si>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</si>
  <si>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</si>
  <si>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</si>
  <si>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</si>
  <si>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</si>
  <si>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</si>
  <si>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</si>
  <si>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</si>
  <si>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</si>
  <si>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</si>
  <si>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</si>
  <si>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</si>
  <si>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</si>
  <si>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</si>
  <si>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</si>
  <si>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</si>
  <si>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</si>
  <si>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</si>
  <si>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</si>
  <si>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</si>
  <si>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</si>
  <si>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</si>
  <si>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</si>
  <si>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</si>
  <si>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</si>
  <si>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</si>
  <si>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</si>
  <si>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</si>
  <si>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</si>
  <si>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</si>
  <si>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</si>
  <si>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</si>
  <si>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</si>
  <si>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</si>
  <si>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</si>
  <si>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</si>
  <si>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</si>
  <si>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</si>
  <si>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</si>
  <si>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</si>
  <si>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</si>
  <si>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</si>
  <si>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</si>
  <si>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</si>
  <si>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</si>
  <si>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</si>
  <si>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</si>
  <si>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</si>
  <si>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</si>
  <si>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</si>
  <si>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</si>
  <si>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</si>
  <si>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</si>
  <si>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</si>
  <si>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</si>
  <si>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</si>
  <si>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</si>
  <si>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</si>
  <si>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</si>
  <si>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</si>
  <si>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</si>
  <si>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</si>
  <si>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</si>
  <si>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</si>
  <si>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</si>
  <si>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</si>
  <si>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</si>
  <si>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</si>
  <si>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</si>
  <si>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</si>
  <si>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</si>
  <si>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</si>
  <si>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</si>
  <si>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</si>
  <si>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</si>
  <si>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</si>
  <si>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</si>
  <si>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</si>
  <si>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</si>
  <si>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</si>
  <si>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</si>
  <si>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</si>
  <si>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</si>
  <si>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</si>
  <si>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</si>
  <si>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</si>
  <si>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</si>
  <si>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</si>
  <si>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</si>
  <si>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</si>
  <si>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</si>
  <si>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</si>
  <si>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</si>
  <si>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</si>
  <si>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</si>
  <si>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</si>
  <si>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</si>
  <si>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</si>
  <si>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</si>
  <si>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</si>
  <si>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</si>
  <si>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</si>
  <si>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</si>
  <si>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</si>
  <si>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</si>
  <si>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</si>
  <si>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</si>
  <si>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</si>
  <si>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</si>
  <si>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</si>
  <si>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</si>
  <si>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</si>
  <si>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</si>
  <si>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</si>
  <si>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</si>
  <si>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</si>
  <si>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</si>
  <si>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</si>
  <si>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</si>
  <si>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</si>
  <si>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</si>
  <si>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</si>
  <si>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</si>
  <si>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</si>
  <si>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</si>
  <si>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</si>
  <si>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</si>
  <si>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</si>
  <si>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</si>
  <si>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</si>
  <si>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</si>
  <si>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</si>
  <si>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</si>
  <si>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</si>
  <si>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</si>
  <si>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</si>
  <si>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</si>
  <si>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</si>
  <si>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</si>
  <si>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</si>
  <si>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</si>
  <si>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</si>
  <si>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</si>
  <si>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</si>
  <si>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</si>
  <si>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</si>
  <si>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</si>
  <si>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</si>
  <si>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</si>
  <si>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</si>
  <si>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</si>
  <si>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</si>
  <si>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</si>
  <si>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</si>
  <si>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</si>
  <si>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</si>
  <si>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</si>
  <si>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</si>
  <si>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</si>
  <si>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</si>
  <si>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</si>
  <si>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</si>
  <si>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</si>
  <si>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</si>
  <si>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</si>
  <si>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</si>
  <si>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</si>
  <si>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</si>
  <si>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</si>
  <si>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</si>
  <si>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</si>
  <si>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</si>
  <si>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</si>
  <si>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</si>
  <si>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</si>
  <si>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</si>
  <si>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</si>
  <si>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</si>
  <si>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</si>
  <si>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</si>
  <si>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</si>
  <si>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</si>
  <si>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</si>
  <si>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</si>
  <si>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</si>
  <si>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</si>
  <si>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</si>
  <si>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</si>
  <si>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</si>
  <si>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</si>
  <si>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</si>
  <si>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</si>
  <si>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</si>
  <si>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</si>
  <si>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</si>
  <si>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</si>
  <si>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</si>
  <si>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</si>
  <si>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</si>
  <si>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</si>
  <si>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</si>
  <si>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</si>
  <si>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</si>
  <si>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</si>
  <si>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</si>
  <si>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</si>
  <si>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</si>
  <si>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</si>
  <si>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</si>
  <si>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</si>
  <si>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</si>
  <si>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</si>
  <si>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</si>
  <si>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</si>
  <si>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</si>
  <si>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</si>
  <si>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</si>
  <si>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</si>
  <si>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</si>
  <si>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</si>
  <si>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</si>
  <si>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</si>
  <si>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</si>
  <si>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</si>
  <si>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</si>
  <si>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</si>
  <si>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</si>
  <si>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</si>
  <si>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</si>
  <si>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</si>
  <si>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</si>
  <si>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</si>
  <si>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</si>
  <si>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</si>
  <si>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</si>
  <si>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</si>
  <si>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</si>
  <si>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</si>
  <si>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</si>
  <si>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</si>
  <si>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</si>
  <si>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</si>
  <si>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</si>
  <si>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</si>
  <si>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</si>
  <si>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</si>
  <si>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</si>
  <si>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</si>
  <si>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</si>
  <si>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</si>
  <si>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</si>
  <si>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</si>
  <si>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</si>
  <si>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</si>
  <si>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</si>
  <si>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</si>
  <si>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</si>
  <si>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</si>
  <si>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</si>
  <si>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</si>
  <si>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</si>
  <si>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</si>
  <si>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</si>
  <si>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</si>
  <si>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</si>
  <si>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</si>
  <si>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</si>
  <si>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</si>
  <si>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</si>
  <si>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</si>
  <si>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</si>
  <si>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</si>
  <si>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</si>
  <si>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</si>
  <si>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</si>
  <si>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</si>
  <si>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</si>
  <si>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</si>
  <si>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</si>
  <si>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</si>
  <si>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</si>
  <si>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</si>
  <si>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</si>
  <si>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</si>
  <si>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</si>
  <si>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</si>
  <si>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</si>
  <si>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</si>
  <si>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</si>
  <si>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</si>
  <si>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</si>
  <si>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</si>
  <si>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</si>
  <si>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</si>
  <si>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</si>
  <si>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</si>
  <si>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</si>
  <si>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</si>
  <si>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</si>
  <si>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</si>
  <si>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</si>
  <si>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</si>
  <si>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</si>
  <si>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</si>
  <si>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</si>
  <si>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</si>
  <si>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</si>
  <si>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</si>
  <si>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</si>
  <si>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</si>
  <si>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</si>
  <si>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</si>
  <si>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</si>
  <si>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</si>
  <si>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</si>
  <si>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</si>
  <si>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</si>
  <si>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</si>
  <si>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</si>
  <si>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</si>
  <si>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</si>
  <si>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</si>
  <si>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</si>
  <si>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</si>
  <si>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</si>
  <si>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</si>
  <si>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</si>
  <si>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</si>
  <si>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</si>
  <si>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</si>
  <si>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</si>
  <si>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</si>
  <si>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</si>
  <si>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</si>
  <si>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</si>
  <si>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</si>
  <si>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</si>
  <si>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</si>
  <si>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</si>
  <si>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</si>
  <si>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</si>
  <si>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</si>
  <si>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</si>
  <si>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</si>
  <si>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</si>
  <si>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</si>
  <si>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</si>
  <si>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</si>
  <si>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</si>
  <si>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</si>
  <si>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</si>
  <si>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</si>
  <si>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</si>
  <si>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</si>
  <si>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</si>
  <si>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</si>
  <si>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</si>
  <si>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</si>
  <si>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</si>
  <si>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</si>
  <si>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</si>
  <si>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</si>
  <si>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</si>
  <si>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</si>
  <si>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</si>
  <si>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</si>
  <si>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</si>
  <si>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</si>
  <si>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</si>
  <si>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</si>
  <si>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</si>
  <si>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</si>
  <si>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</si>
  <si>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</si>
  <si>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</si>
  <si>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</si>
  <si>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</si>
  <si>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</si>
  <si>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</si>
  <si>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</si>
  <si>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</si>
  <si>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</si>
  <si>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</si>
  <si>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</si>
  <si>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</si>
  <si>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</si>
  <si>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</si>
  <si>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</si>
  <si>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</si>
  <si>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</si>
  <si>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</si>
  <si>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</si>
  <si>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</si>
  <si>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</si>
  <si>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</si>
  <si>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</si>
  <si>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</si>
  <si>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</si>
  <si>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</si>
  <si>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</si>
  <si>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</si>
  <si>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</si>
  <si>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</si>
  <si>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</si>
  <si>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</si>
  <si>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</si>
  <si>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</si>
  <si>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</si>
  <si>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</si>
  <si>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</si>
  <si>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</si>
  <si>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</si>
  <si>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</si>
  <si>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</si>
  <si>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</si>
  <si>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</si>
  <si>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</si>
  <si>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</si>
  <si>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</si>
  <si>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</si>
  <si>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</si>
  <si>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</si>
  <si>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</si>
  <si>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</si>
  <si>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</si>
  <si>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</si>
  <si>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</si>
  <si>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</si>
  <si>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</si>
  <si>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</si>
  <si>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</si>
  <si>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</si>
  <si>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</si>
  <si>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</si>
  <si>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</si>
  <si>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</si>
  <si>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</si>
  <si>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</si>
  <si>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</si>
  <si>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</si>
  <si>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</si>
  <si>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</si>
  <si>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</si>
  <si>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</si>
  <si>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</si>
  <si>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</si>
  <si>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</si>
  <si>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</si>
  <si>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</si>
  <si>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</si>
  <si>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</si>
  <si>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</si>
  <si>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</si>
  <si>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</si>
  <si>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</si>
  <si>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</si>
  <si>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</si>
  <si>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</si>
  <si>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</si>
  <si>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</si>
  <si>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</si>
  <si>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</si>
  <si>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</si>
  <si>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</si>
  <si>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</si>
  <si>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</si>
  <si>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</si>
  <si>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</si>
  <si>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</si>
  <si>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</si>
  <si>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</si>
  <si>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</si>
  <si>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</si>
  <si>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</si>
  <si>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</si>
  <si>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</si>
  <si>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</si>
  <si>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</si>
  <si>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</si>
  <si>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</si>
  <si>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</si>
  <si>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</si>
  <si>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</si>
  <si>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</si>
  <si>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</si>
  <si>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</si>
  <si>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</si>
  <si>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</si>
  <si>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</si>
  <si>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</si>
  <si>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</si>
  <si>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</si>
  <si>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</si>
  <si>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</si>
  <si>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</si>
  <si>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</si>
  <si>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</si>
  <si>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</si>
  <si>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</si>
  <si>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</si>
  <si>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</si>
  <si>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</si>
  <si>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</si>
  <si>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</si>
  <si>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</si>
  <si>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</si>
  <si>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</si>
  <si>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</si>
  <si>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</si>
  <si>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</si>
  <si>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</si>
  <si>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</si>
  <si>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</si>
  <si>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</si>
  <si>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</si>
  <si>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</si>
  <si>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</si>
  <si>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</si>
  <si>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</si>
  <si>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</si>
  <si>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</si>
  <si>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</si>
  <si>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</si>
  <si>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</si>
  <si>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</si>
  <si>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</si>
  <si>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</si>
  <si>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</si>
  <si>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</si>
  <si>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</si>
  <si>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</si>
  <si>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</si>
  <si>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</si>
  <si>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</si>
  <si>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</si>
  <si>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</si>
  <si>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</si>
  <si>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</si>
  <si>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</si>
  <si>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</si>
  <si>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</si>
  <si>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</si>
  <si>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</si>
  <si>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</si>
  <si>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</si>
  <si>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</si>
  <si>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</si>
  <si>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</si>
  <si>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</si>
  <si>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</si>
  <si>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</si>
  <si>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</si>
  <si>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</si>
  <si>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</si>
  <si>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</si>
  <si>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</si>
  <si>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</si>
  <si>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</si>
  <si>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</si>
  <si>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</si>
  <si>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</si>
  <si>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</si>
  <si>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</si>
  <si>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</si>
  <si>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</si>
  <si>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</si>
  <si>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</si>
  <si>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</si>
  <si>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</si>
  <si>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</si>
  <si>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</si>
  <si>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</si>
  <si>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</si>
  <si>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</si>
  <si>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</si>
  <si>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</si>
  <si>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</si>
  <si>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</si>
  <si>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</si>
  <si>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</si>
  <si>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</si>
  <si>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</si>
  <si>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</si>
  <si>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</si>
  <si>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</si>
  <si>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</si>
  <si>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</si>
  <si>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</si>
  <si>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</si>
  <si>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</si>
  <si>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</si>
  <si>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</si>
  <si>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</si>
  <si>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</si>
  <si>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</si>
  <si>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</si>
  <si>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</si>
  <si>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</si>
  <si>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</si>
  <si>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</si>
  <si>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</si>
  <si>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</si>
  <si>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</si>
  <si>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</si>
  <si>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</si>
  <si>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</si>
  <si>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</si>
  <si>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</si>
  <si>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</si>
  <si>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</si>
  <si>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</si>
  <si>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</si>
  <si>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</si>
  <si>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</si>
  <si>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</si>
  <si>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</si>
  <si>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</si>
  <si>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</si>
  <si>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</si>
  <si>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</si>
  <si>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</si>
  <si>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</si>
  <si>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</si>
  <si>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</si>
  <si>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</si>
  <si>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</si>
  <si>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</si>
  <si>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</si>
  <si>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</si>
  <si>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</si>
  <si>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</si>
  <si>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</si>
  <si>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</si>
  <si>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</si>
  <si>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</si>
  <si>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</si>
  <si>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</si>
  <si>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</si>
  <si>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</si>
  <si>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</si>
  <si>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</si>
  <si>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</si>
  <si>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</si>
  <si>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</si>
  <si>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</si>
  <si>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</si>
  <si>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</si>
  <si>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</si>
  <si>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</si>
  <si>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</si>
  <si>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</si>
  <si>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</si>
  <si>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</si>
  <si>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</si>
  <si>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</si>
  <si>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</si>
  <si>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</si>
  <si>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</si>
  <si>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</si>
  <si>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</si>
  <si>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</si>
  <si>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</si>
  <si>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</si>
  <si>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</si>
  <si>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</si>
  <si>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</si>
  <si>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</si>
  <si>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</si>
  <si>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</si>
  <si>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</si>
  <si>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</si>
  <si>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</si>
  <si>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</si>
  <si>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</si>
  <si>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</si>
  <si>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</si>
  <si>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</si>
  <si>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</si>
  <si>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</si>
  <si>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</si>
  <si>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</si>
  <si>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</si>
  <si>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</si>
  <si>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</si>
  <si>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</si>
  <si>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</si>
  <si>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</si>
  <si>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</si>
  <si>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</si>
  <si>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</si>
  <si>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</si>
  <si>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</si>
  <si>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</si>
  <si>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</si>
  <si>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</si>
  <si>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</si>
  <si>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</si>
  <si>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</si>
  <si>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</si>
  <si>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</si>
  <si>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</si>
  <si>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</si>
  <si>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</si>
  <si>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</si>
  <si>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</si>
  <si>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</si>
  <si>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</si>
  <si>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</si>
  <si>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</si>
  <si>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</si>
  <si>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</si>
  <si>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</si>
  <si>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</si>
  <si>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</si>
  <si>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</si>
  <si>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</si>
  <si>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</si>
  <si>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</si>
  <si>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</si>
  <si>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</si>
  <si>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</si>
  <si>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</si>
  <si>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</si>
  <si>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</si>
  <si>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</si>
  <si>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</si>
  <si>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</si>
  <si>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</si>
  <si>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</si>
  <si>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</si>
  <si>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</si>
  <si>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</si>
  <si>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</si>
  <si>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</si>
  <si>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</si>
  <si>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</si>
  <si>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</si>
  <si>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</si>
  <si>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</si>
  <si>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</si>
  <si>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</si>
  <si>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</si>
  <si>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</si>
  <si>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</si>
  <si>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</si>
  <si>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</si>
  <si>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</si>
  <si>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</si>
  <si>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</si>
  <si>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</si>
  <si>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</si>
  <si>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</si>
  <si>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</si>
  <si>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</si>
  <si>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</si>
  <si>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</si>
  <si>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</si>
  <si>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</si>
  <si>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</si>
  <si>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</si>
  <si>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</si>
  <si>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</si>
  <si>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</si>
  <si>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</si>
  <si>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</si>
  <si>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</si>
  <si>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</si>
  <si>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</si>
  <si>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</si>
  <si>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</si>
  <si>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</si>
  <si>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</si>
  <si>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</si>
  <si>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</si>
  <si>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</si>
  <si>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</si>
  <si>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</si>
  <si>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</si>
  <si>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</si>
  <si>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</si>
  <si>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</si>
  <si>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</si>
  <si>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</si>
  <si>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</si>
  <si>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</si>
  <si>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</si>
  <si>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</si>
  <si>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</si>
  <si>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</si>
  <si>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</si>
  <si>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</si>
  <si>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</si>
  <si>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</si>
  <si>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</si>
  <si>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</si>
  <si>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</si>
  <si>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</si>
  <si>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</si>
  <si>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</si>
  <si>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</si>
  <si>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</si>
  <si>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</si>
  <si>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</si>
  <si>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</si>
  <si>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</si>
  <si>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</si>
  <si>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</si>
  <si>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</si>
  <si>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</si>
  <si>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</si>
  <si>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</si>
  <si>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</si>
  <si>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</si>
  <si>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</si>
  <si>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</si>
  <si>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</si>
  <si>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</si>
  <si>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</si>
  <si>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</si>
  <si>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</si>
  <si>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</si>
  <si>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</si>
  <si>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</si>
  <si>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</si>
  <si>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</si>
  <si>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</si>
  <si>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</si>
  <si>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</si>
  <si>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</si>
  <si>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</si>
  <si>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</si>
  <si>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</si>
  <si>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</si>
  <si>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</si>
  <si>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</si>
  <si>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</si>
  <si>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</si>
  <si>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</si>
  <si>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</si>
  <si>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</si>
  <si>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</si>
  <si>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</si>
  <si>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</si>
  <si>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</si>
  <si>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</si>
  <si>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</si>
  <si>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</si>
  <si>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</si>
  <si>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</si>
  <si>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</si>
  <si>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</si>
  <si>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</si>
  <si>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</si>
  <si>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</si>
  <si>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</si>
  <si>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</si>
  <si>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</si>
  <si>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</si>
  <si>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</si>
  <si>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</si>
  <si>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</si>
  <si>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</si>
  <si>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</si>
  <si>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</si>
  <si>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</si>
  <si>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</si>
  <si>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</si>
  <si>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</si>
  <si>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</si>
  <si>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</si>
  <si>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</si>
  <si>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</si>
  <si>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</si>
  <si>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</si>
  <si>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</si>
  <si>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</si>
  <si>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</si>
  <si>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</si>
  <si>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</si>
  <si>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</si>
  <si>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</si>
  <si>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</si>
  <si>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</si>
  <si>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</si>
  <si>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</si>
  <si>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</si>
  <si>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</si>
  <si>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</si>
  <si>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</si>
  <si>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</si>
  <si>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</si>
  <si>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</si>
  <si>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</si>
  <si>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</si>
  <si>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</si>
  <si>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</si>
  <si>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</si>
  <si>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</si>
  <si>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</si>
  <si>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</si>
  <si>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</si>
  <si>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</si>
  <si>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</si>
  <si>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</si>
  <si>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</si>
  <si>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</si>
  <si>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</si>
  <si>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</si>
  <si>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</si>
  <si>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</si>
  <si>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</si>
  <si>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</si>
  <si>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</si>
  <si>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</si>
  <si>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</si>
  <si>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</si>
  <si>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</si>
  <si>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</si>
  <si>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</si>
  <si>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</si>
  <si>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</si>
  <si>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</si>
  <si>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</si>
  <si>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</si>
  <si>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</si>
  <si>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</si>
  <si>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</si>
  <si>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</si>
  <si>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</si>
  <si>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</si>
  <si>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</si>
  <si>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</si>
  <si>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</si>
  <si>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</si>
  <si>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</si>
  <si>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</si>
  <si>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</si>
  <si>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</si>
  <si>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</si>
  <si>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</si>
  <si>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</si>
  <si>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</si>
  <si>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</si>
  <si>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</si>
  <si>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</si>
  <si>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</si>
  <si>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</si>
  <si>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</si>
  <si>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</si>
  <si>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</si>
  <si>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</si>
  <si>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</si>
  <si>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</si>
  <si>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</si>
  <si>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</si>
  <si>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</si>
  <si>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</si>
  <si>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</si>
  <si>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</si>
  <si>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</si>
  <si>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</si>
  <si>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</si>
  <si>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</si>
  <si>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</si>
  <si>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</si>
  <si>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</si>
  <si>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</si>
  <si>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</si>
  <si>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</si>
  <si>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</si>
  <si>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</si>
  <si>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</si>
  <si>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</si>
  <si>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</si>
  <si>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</si>
  <si>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</si>
  <si>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</si>
  <si>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</si>
  <si>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</si>
  <si>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</si>
  <si>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</si>
  <si>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</si>
  <si>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</si>
  <si>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</si>
  <si>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</si>
  <si>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</si>
  <si>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</si>
  <si>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</si>
  <si>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</si>
  <si>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</si>
  <si>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</si>
  <si>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</si>
  <si>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</si>
  <si>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</si>
  <si>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</si>
  <si>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</si>
  <si>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</si>
  <si>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</si>
  <si>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</si>
  <si>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</si>
  <si>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</si>
  <si>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</si>
  <si>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</si>
  <si>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</si>
  <si>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</si>
  <si>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</si>
  <si>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</si>
  <si>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</si>
  <si>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</si>
  <si>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</si>
  <si>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</si>
  <si>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</si>
  <si>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</si>
  <si>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</si>
  <si>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</si>
  <si>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</si>
  <si>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</si>
  <si>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</si>
  <si>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</si>
  <si>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</si>
  <si>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</si>
  <si>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</si>
  <si>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</si>
  <si>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</si>
  <si>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</si>
  <si>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</si>
  <si>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</si>
  <si>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</si>
  <si>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</si>
  <si>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</si>
  <si>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</si>
  <si>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</si>
  <si>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</si>
  <si>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</si>
  <si>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</si>
  <si>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</si>
  <si>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</si>
  <si>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</si>
  <si>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</si>
  <si>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</si>
  <si>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</si>
  <si>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</si>
  <si>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</si>
  <si>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</si>
  <si>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</si>
  <si>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</si>
  <si>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</si>
  <si>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</si>
  <si>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</si>
  <si>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</si>
  <si>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</si>
  <si>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</si>
  <si>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</si>
  <si>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</si>
  <si>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</si>
  <si>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</si>
  <si>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</si>
  <si>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</si>
  <si>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</si>
  <si>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</si>
  <si>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</si>
  <si>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</si>
  <si>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</si>
  <si>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</si>
  <si>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</si>
  <si>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</si>
  <si>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</si>
  <si>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</si>
  <si>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</si>
  <si>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</si>
  <si>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</si>
  <si>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</si>
  <si>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</si>
  <si>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</si>
  <si>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</si>
  <si>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</si>
  <si>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</si>
  <si>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</si>
  <si>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</si>
  <si>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</si>
  <si>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</si>
  <si>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</si>
  <si>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</si>
  <si>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</si>
  <si>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</si>
  <si>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</si>
  <si>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</si>
  <si>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</si>
  <si>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</si>
  <si>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</si>
  <si>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</si>
  <si>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</si>
  <si>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</si>
  <si>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</si>
  <si>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</si>
  <si>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</si>
  <si>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</si>
  <si>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</si>
  <si>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</si>
  <si>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</si>
  <si>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</si>
  <si>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</si>
  <si>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</si>
  <si>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</si>
  <si>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</si>
  <si>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</si>
  <si>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</si>
  <si>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</si>
  <si>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</si>
  <si>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</si>
  <si>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</si>
  <si>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</si>
  <si>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</si>
  <si>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</si>
  <si>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</si>
  <si>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</si>
  <si>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</si>
  <si>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</si>
  <si>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</si>
  <si>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</si>
  <si>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</si>
  <si>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</si>
  <si>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</si>
  <si>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</si>
  <si>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</si>
  <si>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</si>
  <si>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</si>
  <si>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</si>
  <si>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</si>
  <si>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</si>
  <si>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</si>
  <si>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</si>
  <si>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</si>
  <si>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</si>
  <si>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</si>
  <si>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</si>
  <si>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</si>
  <si>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</si>
  <si>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</si>
  <si>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</si>
  <si>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</si>
  <si>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</si>
  <si>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</si>
  <si>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</si>
  <si>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</si>
  <si>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</si>
  <si>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</si>
  <si>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</si>
  <si>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</si>
  <si>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</si>
  <si>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</si>
  <si>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</si>
  <si>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</si>
  <si>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</si>
  <si>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</si>
  <si>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</si>
  <si>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</si>
  <si>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</si>
  <si>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</si>
  <si>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</si>
  <si>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</si>
  <si>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</si>
  <si>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</si>
  <si>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</si>
  <si>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</si>
  <si>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</si>
  <si>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</si>
  <si>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</si>
  <si>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</si>
  <si>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</si>
  <si>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</si>
  <si>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</si>
  <si>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</si>
  <si>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</si>
  <si>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</si>
  <si>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</si>
  <si>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</si>
  <si>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</si>
  <si>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</si>
  <si>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</si>
  <si>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</si>
  <si>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</si>
  <si>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</si>
  <si>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</si>
  <si>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</si>
  <si>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</si>
  <si>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</si>
  <si>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</si>
  <si>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</si>
  <si>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</si>
  <si>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</si>
  <si>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</si>
  <si>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</si>
  <si>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</si>
  <si>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</si>
  <si>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</si>
  <si>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</si>
  <si>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</si>
  <si>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</si>
  <si>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</si>
  <si>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</si>
  <si>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</si>
  <si>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</si>
  <si>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</si>
  <si>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</si>
  <si>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</si>
  <si>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</si>
  <si>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</si>
  <si>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</si>
  <si>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</si>
  <si>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</si>
  <si>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</si>
  <si>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</si>
  <si>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</si>
  <si>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</si>
  <si>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</si>
  <si>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</si>
  <si>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</si>
  <si>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</si>
  <si>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</si>
  <si>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</si>
  <si>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</si>
  <si>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</si>
  <si>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</si>
  <si>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</si>
  <si>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</si>
  <si>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</si>
  <si>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</si>
  <si>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</si>
  <si>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</si>
  <si>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</si>
  <si>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</si>
  <si>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</si>
  <si>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</si>
  <si>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</si>
  <si>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</si>
  <si>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</si>
  <si>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</si>
  <si>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</si>
  <si>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</si>
  <si>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</si>
  <si>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</si>
  <si>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</si>
  <si>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</si>
  <si>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</si>
  <si>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</si>
  <si>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</si>
  <si>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</si>
  <si>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</si>
  <si>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</si>
  <si>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</si>
  <si>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</si>
  <si>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</si>
  <si>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</si>
  <si>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</si>
  <si>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</si>
  <si>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</si>
  <si>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</si>
  <si>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</si>
  <si>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</si>
  <si>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</si>
  <si>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</si>
  <si>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</si>
  <si>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</si>
  <si>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</si>
  <si>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</si>
  <si>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</si>
  <si>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</si>
  <si>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</si>
  <si>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</si>
  <si>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</si>
  <si>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</si>
  <si>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</si>
  <si>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</si>
  <si>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</si>
  <si>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</si>
  <si>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</si>
  <si>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</si>
  <si>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</si>
  <si>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</si>
  <si>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</si>
  <si>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</si>
  <si>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</si>
  <si>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</si>
  <si>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</si>
  <si>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</si>
  <si>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</si>
  <si>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</si>
  <si>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</si>
  <si>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</si>
  <si>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</si>
  <si>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</si>
  <si>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</si>
  <si>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</si>
  <si>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</si>
  <si>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</si>
  <si>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</si>
  <si>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</si>
  <si>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</si>
  <si>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</si>
  <si>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</si>
  <si>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</si>
  <si>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</si>
  <si>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</si>
  <si>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</si>
  <si>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</si>
  <si>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</si>
  <si>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</si>
  <si>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</si>
  <si>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</si>
  <si>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</si>
  <si>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</si>
  <si>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</si>
  <si>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</si>
  <si>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</si>
  <si>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</si>
  <si>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</si>
  <si>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</si>
  <si>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</si>
  <si>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</si>
  <si>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</si>
  <si>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</si>
  <si>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</si>
  <si>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</si>
  <si>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</si>
  <si>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</si>
  <si>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</si>
  <si>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</si>
  <si>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</si>
  <si>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</si>
  <si>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</si>
  <si>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</si>
  <si>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</si>
  <si>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</si>
  <si>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</si>
  <si>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</si>
  <si>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</si>
  <si>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</si>
  <si>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</si>
  <si>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</si>
  <si>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</si>
  <si>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</si>
  <si>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</si>
  <si>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</si>
  <si>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</si>
  <si>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</si>
  <si>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</si>
  <si>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</si>
  <si>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</si>
  <si>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</si>
  <si>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</si>
  <si>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</si>
  <si>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</si>
  <si>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</si>
  <si>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</si>
  <si>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</si>
  <si>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</si>
  <si>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</si>
  <si>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</si>
  <si>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</si>
  <si>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</si>
  <si>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</si>
  <si>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</si>
  <si>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</si>
  <si>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</si>
  <si>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</si>
  <si>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</si>
  <si>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</si>
  <si>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</si>
  <si>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</si>
  <si>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</si>
  <si>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</si>
  <si>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</si>
  <si>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</si>
  <si>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</si>
  <si>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</si>
  <si>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</si>
  <si>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</si>
  <si>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</si>
  <si>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</si>
  <si>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</si>
  <si>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</si>
  <si>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</si>
  <si>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</si>
  <si>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</si>
  <si>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</si>
  <si>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</si>
  <si>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</si>
  <si>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</si>
  <si>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</si>
  <si>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</si>
  <si>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</si>
  <si>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</si>
  <si>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</si>
  <si>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</si>
  <si>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</si>
  <si>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</si>
  <si>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</si>
  <si>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</si>
  <si>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</si>
  <si>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</si>
  <si>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</si>
  <si>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</si>
  <si>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</si>
  <si>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</si>
  <si>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</si>
  <si>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</si>
  <si>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</si>
  <si>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</si>
  <si>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</si>
  <si>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</si>
  <si>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</si>
  <si>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</si>
  <si>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</si>
  <si>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</si>
  <si>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</si>
  <si>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</si>
  <si>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</si>
  <si>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</si>
  <si>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</si>
  <si>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</si>
  <si>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</si>
  <si>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</si>
  <si>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</si>
  <si>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</si>
  <si>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</si>
  <si>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</si>
  <si>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</si>
  <si>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</si>
  <si>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</si>
  <si>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</si>
  <si>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</si>
  <si>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</si>
  <si>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</si>
  <si>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</si>
  <si>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</si>
  <si>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</si>
  <si>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</si>
  <si>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</si>
  <si>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</si>
  <si>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</si>
  <si>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</si>
  <si>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</si>
  <si>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</si>
  <si>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</si>
  <si>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</si>
  <si>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</si>
  <si>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</si>
  <si>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</si>
  <si>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</si>
  <si>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</si>
  <si>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</si>
  <si>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</si>
  <si>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</si>
  <si>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</si>
  <si>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</si>
  <si>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</si>
  <si>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</si>
  <si>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</si>
  <si>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</si>
  <si>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</si>
  <si>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</si>
  <si>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</si>
  <si>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</si>
  <si>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</si>
  <si>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</si>
  <si>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</si>
  <si>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</si>
  <si>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</si>
  <si>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</si>
  <si>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</si>
  <si>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</si>
  <si>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</si>
  <si>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</si>
  <si>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</si>
  <si>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</si>
  <si>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</si>
  <si>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</si>
  <si>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</si>
  <si>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</si>
  <si>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</si>
  <si>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</si>
  <si>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</si>
  <si>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</si>
  <si>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</si>
  <si>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</si>
  <si>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</si>
  <si>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</si>
  <si>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</si>
  <si>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</si>
  <si>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</si>
  <si>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</si>
  <si>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</si>
  <si>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</si>
  <si>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</si>
  <si>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</si>
  <si>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</si>
  <si>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</si>
  <si>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</si>
  <si>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</si>
  <si>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</si>
  <si>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</si>
  <si>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</si>
  <si>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</si>
  <si>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</si>
  <si>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</si>
  <si>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</si>
  <si>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</si>
  <si>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</si>
  <si>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</si>
  <si>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</si>
  <si>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</si>
  <si>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</si>
  <si>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</si>
  <si>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</si>
  <si>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</si>
  <si>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</si>
  <si>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</si>
  <si>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</si>
  <si>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</si>
  <si>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</si>
  <si>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</si>
  <si>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</si>
  <si>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</si>
  <si>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</si>
  <si>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</si>
  <si>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</si>
  <si>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</si>
  <si>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</si>
  <si>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</si>
  <si>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</si>
  <si>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</si>
  <si>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</si>
  <si>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</si>
  <si>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</si>
  <si>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</si>
  <si>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</si>
  <si>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</si>
  <si>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</si>
  <si>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</si>
  <si>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</si>
  <si>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</si>
  <si>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</si>
  <si>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</si>
  <si>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</si>
  <si>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</si>
  <si>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</si>
  <si>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</si>
  <si>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</si>
  <si>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</si>
  <si>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</si>
  <si>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</si>
  <si>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</si>
  <si>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</si>
  <si>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</si>
  <si>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</si>
  <si>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</si>
  <si>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</si>
  <si>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</si>
  <si>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</si>
  <si>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</si>
  <si>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</si>
  <si>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</si>
  <si>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</si>
  <si>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</si>
  <si>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</si>
  <si>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</si>
  <si>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</si>
  <si>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</si>
  <si>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</si>
  <si>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</si>
  <si>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</si>
  <si>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</si>
  <si>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</si>
  <si>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</si>
  <si>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</si>
  <si>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</si>
  <si>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</si>
  <si>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</si>
  <si>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</si>
  <si>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</si>
  <si>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</si>
  <si>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</si>
  <si>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</si>
  <si>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</si>
  <si>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</si>
  <si>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</si>
  <si>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</si>
  <si>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</si>
  <si>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</si>
  <si>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</si>
  <si>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</si>
  <si>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</si>
  <si>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</si>
  <si>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</si>
  <si>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</si>
  <si>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</si>
  <si>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</si>
  <si>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</si>
  <si>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</si>
  <si>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</si>
  <si>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</si>
  <si>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</si>
  <si>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</si>
  <si>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</si>
  <si>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</si>
  <si>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</si>
  <si>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</si>
  <si>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</si>
  <si>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</si>
  <si>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</si>
  <si>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</si>
  <si>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</si>
  <si>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</si>
  <si>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</si>
  <si>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</si>
  <si>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</si>
  <si>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</si>
  <si>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</si>
  <si>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</si>
  <si>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</si>
  <si>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</si>
  <si>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</si>
  <si>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</si>
  <si>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</si>
  <si>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</si>
  <si>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</si>
  <si>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</si>
  <si>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</si>
  <si>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</si>
  <si>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</si>
  <si>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</si>
  <si>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</si>
  <si>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</si>
  <si>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</si>
  <si>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</si>
  <si>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</si>
  <si>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</si>
  <si>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</si>
  <si>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</si>
  <si>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</si>
  <si>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</si>
  <si>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</si>
  <si>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</si>
  <si>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</si>
  <si>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</si>
  <si>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</si>
  <si>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</si>
  <si>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</si>
  <si>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</si>
  <si>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</si>
  <si>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</si>
  <si>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</si>
  <si>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</si>
  <si>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</si>
  <si>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</si>
  <si>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</si>
  <si>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</si>
  <si>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</si>
  <si>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</si>
  <si>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</si>
  <si>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</si>
  <si>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</si>
  <si>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</si>
  <si>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</si>
  <si>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</si>
  <si>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</si>
  <si>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</si>
  <si>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</si>
  <si>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</si>
  <si>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</si>
  <si>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</si>
  <si>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</si>
  <si>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</si>
  <si>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</si>
  <si>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</si>
  <si>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</si>
  <si>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</si>
  <si>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</si>
  <si>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</si>
  <si>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</si>
  <si>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</si>
  <si>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</si>
  <si>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</si>
  <si>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</si>
  <si>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</si>
  <si>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</si>
  <si>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</si>
  <si>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</si>
  <si>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</si>
  <si>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</si>
  <si>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</si>
  <si>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</si>
  <si>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</si>
  <si>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</si>
  <si>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</si>
  <si>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</si>
  <si>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</si>
  <si>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</si>
  <si>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</si>
  <si>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</si>
  <si>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</si>
  <si>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</si>
  <si>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</si>
  <si>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</si>
  <si>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</si>
  <si>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</si>
  <si>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</si>
  <si>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</si>
  <si>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</si>
  <si>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</si>
  <si>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</si>
  <si>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</si>
  <si>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</si>
  <si>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</si>
  <si>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</si>
  <si>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</si>
  <si>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</si>
  <si>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</si>
  <si>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</si>
  <si>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</si>
  <si>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</si>
  <si>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</si>
  <si>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</si>
  <si>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</si>
  <si>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</si>
  <si>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</si>
  <si>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</si>
  <si>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</si>
  <si>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</si>
  <si>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</si>
  <si>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</si>
  <si>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</si>
  <si>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</si>
  <si>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</si>
  <si>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</si>
  <si>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</si>
  <si>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</si>
  <si>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</si>
  <si>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</si>
  <si>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</si>
  <si>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</si>
  <si>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</si>
  <si>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</si>
  <si>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</si>
  <si>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</si>
  <si>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</si>
  <si>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</si>
  <si>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</si>
  <si>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</si>
  <si>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</si>
  <si>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</si>
  <si>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</si>
  <si>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</si>
  <si>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</si>
  <si>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</si>
  <si>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</si>
  <si>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</si>
  <si>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</si>
  <si>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</si>
  <si>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</si>
  <si>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</si>
  <si>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</si>
  <si>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</si>
  <si>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</si>
  <si>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</si>
  <si>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</si>
  <si>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</si>
  <si>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</si>
  <si>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</si>
  <si>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</si>
  <si>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</si>
  <si>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</si>
  <si>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</si>
  <si>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</si>
  <si>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</si>
  <si>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</si>
  <si>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</si>
  <si>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</si>
  <si>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</si>
  <si>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</si>
  <si>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</si>
  <si>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</si>
  <si>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</si>
  <si>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</si>
  <si>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</si>
  <si>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</si>
  <si>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</si>
  <si>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</si>
  <si>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</si>
  <si>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</si>
  <si>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</si>
  <si>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</si>
  <si>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</si>
  <si>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</si>
  <si>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</si>
  <si>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</si>
  <si>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</si>
  <si>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</si>
  <si>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</si>
  <si>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</si>
  <si>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</si>
  <si>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</si>
  <si>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</si>
  <si>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</si>
  <si>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</si>
  <si>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</si>
  <si>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</si>
  <si>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</si>
  <si>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</si>
  <si>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</si>
  <si>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</si>
  <si>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</si>
  <si>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</si>
  <si>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</si>
  <si>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</si>
  <si>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</si>
  <si>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</si>
  <si>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</si>
  <si>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</si>
  <si>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</si>
  <si>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</si>
  <si>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</si>
  <si>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</si>
  <si>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</si>
  <si>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</si>
  <si>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</si>
  <si>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</si>
  <si>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</si>
  <si>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</si>
  <si>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</si>
  <si>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</si>
  <si>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</si>
  <si>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</si>
  <si>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</si>
  <si>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</si>
  <si>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</si>
  <si>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</si>
  <si>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</si>
  <si>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</si>
  <si>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</si>
  <si>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</si>
  <si>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</si>
  <si>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</si>
  <si>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</si>
  <si>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</si>
  <si>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</si>
  <si>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</si>
  <si>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</si>
  <si>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</si>
  <si>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</si>
  <si>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</si>
  <si>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</si>
  <si>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</si>
  <si>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</si>
  <si>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</si>
  <si>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</si>
  <si>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</si>
  <si>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</si>
  <si>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</si>
  <si>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</si>
  <si>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</si>
  <si>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</si>
  <si>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</si>
  <si>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</si>
  <si>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</si>
  <si>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</si>
  <si>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</si>
  <si>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</si>
  <si>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</si>
  <si>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</si>
  <si>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</si>
  <si>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</si>
  <si>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</si>
  <si>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</si>
  <si>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</si>
  <si>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</si>
  <si>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</si>
  <si>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</si>
  <si>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</si>
  <si>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</si>
  <si>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</si>
  <si>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</si>
  <si>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</si>
  <si>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</si>
  <si>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</si>
  <si>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</si>
  <si>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</si>
  <si>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</si>
  <si>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</si>
  <si>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</si>
  <si>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</si>
  <si>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</si>
  <si>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</si>
  <si>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</si>
  <si>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</si>
  <si>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</si>
  <si>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</si>
  <si>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</si>
  <si>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</si>
  <si>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</si>
  <si>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</si>
  <si>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</si>
  <si>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</si>
  <si>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</si>
  <si>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</si>
  <si>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</si>
  <si>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</si>
  <si>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</si>
  <si>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</si>
  <si>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</si>
  <si>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</si>
  <si>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</si>
  <si>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</si>
  <si>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</si>
  <si>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</si>
  <si>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</si>
  <si>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</si>
  <si>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</si>
  <si>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</si>
  <si>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</si>
  <si>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</si>
  <si>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</si>
  <si>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</si>
  <si>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</si>
  <si>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</si>
  <si>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</si>
  <si>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</si>
  <si>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</si>
  <si>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</si>
  <si>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</si>
  <si>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</si>
  <si>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</si>
  <si>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</si>
  <si>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</si>
  <si>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</si>
  <si>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</si>
  <si>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</si>
  <si>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</si>
  <si>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</si>
  <si>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</si>
  <si>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</si>
  <si>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</si>
  <si>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</si>
  <si>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</si>
  <si>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</si>
  <si>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</si>
  <si>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</si>
  <si>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</si>
  <si>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</si>
  <si>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</si>
  <si>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</si>
  <si>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</si>
  <si>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</si>
  <si>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</si>
  <si>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</si>
  <si>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</si>
  <si>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</si>
  <si>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</si>
  <si>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</si>
  <si>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</si>
  <si>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</si>
  <si>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</si>
  <si>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</si>
  <si>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</si>
  <si>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</si>
  <si>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</si>
  <si>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</si>
  <si>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</si>
  <si>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</si>
  <si>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</si>
  <si>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</si>
  <si>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</si>
  <si>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</si>
  <si>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</si>
  <si>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</si>
  <si>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</si>
  <si>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</si>
  <si>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</si>
  <si>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</si>
  <si>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</si>
  <si>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</si>
  <si>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</si>
  <si>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</si>
  <si>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</si>
  <si>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</si>
  <si>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</si>
  <si>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</si>
  <si>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</si>
  <si>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</si>
  <si>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</si>
  <si>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</si>
  <si>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</si>
  <si>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</si>
  <si>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</si>
  <si>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</si>
  <si>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</si>
  <si>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</si>
  <si>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</si>
  <si>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</si>
  <si>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</si>
  <si>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</si>
  <si>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</si>
  <si>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</si>
  <si>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</si>
  <si>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</si>
  <si>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</si>
  <si>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</si>
  <si>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</si>
  <si>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</si>
  <si>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</si>
  <si>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</si>
  <si>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</si>
  <si>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</si>
  <si>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</si>
  <si>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</si>
  <si>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</si>
  <si>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</si>
  <si>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</si>
  <si>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</si>
  <si>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</si>
  <si>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</si>
  <si>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</si>
  <si>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</si>
  <si>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</si>
  <si>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</si>
  <si>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</si>
  <si>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</si>
  <si>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</si>
  <si>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</si>
  <si>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</si>
  <si>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</si>
  <si>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</si>
  <si>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</si>
  <si>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</si>
  <si>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</si>
  <si>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</si>
  <si>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</si>
  <si>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</si>
  <si>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</si>
  <si>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</si>
  <si>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</si>
  <si>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</si>
  <si>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</si>
  <si>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</si>
  <si>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</si>
  <si>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</si>
  <si>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</si>
  <si>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</si>
  <si>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</si>
  <si>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</si>
  <si>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</si>
  <si>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</si>
  <si>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</si>
  <si>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</si>
  <si>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</si>
  <si>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</si>
  <si>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</si>
  <si>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</si>
  <si>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</si>
  <si>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</si>
  <si>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</si>
  <si>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</si>
  <si>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</si>
  <si>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</si>
  <si>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</si>
  <si>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</si>
  <si>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</si>
  <si>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</si>
  <si>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</si>
  <si>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</si>
  <si>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</si>
  <si>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</si>
  <si>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</si>
  <si>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</si>
  <si>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</si>
  <si>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</si>
  <si>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</si>
  <si>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</si>
  <si>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</si>
  <si>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</si>
  <si>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</si>
  <si>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</si>
  <si>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</si>
  <si>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</si>
  <si>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</si>
  <si>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</si>
  <si>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</si>
  <si>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</si>
  <si>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</si>
  <si>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</si>
  <si>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</si>
  <si>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</si>
  <si>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</si>
  <si>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</si>
  <si>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</si>
  <si>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</si>
  <si>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</si>
  <si>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</si>
  <si>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</si>
  <si>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</si>
  <si>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</si>
  <si>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</si>
  <si>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</si>
  <si>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</si>
  <si>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</si>
  <si>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</si>
  <si>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</si>
  <si>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</si>
  <si>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</si>
  <si>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</si>
  <si>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</si>
  <si>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</si>
  <si>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</si>
  <si>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</si>
  <si>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</si>
  <si>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</si>
  <si>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</si>
  <si>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</si>
  <si>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</si>
  <si>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</si>
  <si>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</si>
  <si>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</si>
  <si>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</si>
  <si>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</si>
  <si>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</si>
  <si>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</si>
  <si>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</si>
  <si>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</si>
  <si>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</si>
  <si>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</si>
  <si>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</si>
  <si>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</si>
  <si>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</si>
  <si>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</si>
  <si>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</si>
  <si>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</si>
  <si>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</si>
  <si>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</si>
  <si>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</si>
  <si>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</si>
  <si>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</si>
  <si>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</si>
  <si>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</si>
  <si>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</si>
  <si>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</si>
  <si>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</si>
  <si>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</si>
  <si>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</si>
  <si>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</si>
  <si>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</si>
  <si>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</si>
  <si>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</si>
  <si>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</si>
  <si>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</si>
  <si>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</si>
  <si>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</si>
  <si>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</si>
  <si>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</si>
  <si>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</si>
  <si>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</si>
  <si>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</si>
  <si>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</si>
  <si>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</si>
  <si>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</si>
  <si>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</si>
  <si>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</si>
  <si>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</si>
  <si>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</si>
  <si>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</si>
  <si>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</si>
  <si>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</si>
  <si>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</si>
  <si>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</si>
  <si>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</si>
  <si>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</si>
  <si>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</si>
  <si>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</si>
  <si>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</si>
  <si>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</si>
  <si>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</si>
  <si>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</si>
  <si>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</si>
  <si>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</si>
  <si>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</si>
  <si>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</si>
  <si>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</si>
  <si>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</si>
  <si>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</si>
  <si>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</si>
  <si>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</si>
  <si>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</si>
  <si>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</si>
  <si>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</si>
  <si>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</si>
  <si>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</si>
  <si>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</si>
  <si>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</si>
  <si>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</si>
  <si>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</si>
  <si>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</si>
  <si>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</si>
  <si>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</si>
  <si>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</si>
  <si>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</si>
  <si>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</si>
  <si>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</si>
  <si>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</si>
  <si>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</si>
  <si>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</si>
  <si>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</si>
  <si>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</si>
  <si>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</si>
  <si>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</si>
  <si>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</si>
  <si>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</si>
  <si>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</si>
  <si>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</si>
  <si>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</si>
  <si>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</si>
  <si>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</si>
  <si>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</si>
  <si>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</si>
  <si>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</si>
  <si>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</si>
  <si>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</si>
  <si>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</si>
  <si>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</si>
  <si>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</si>
  <si>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</si>
  <si>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</si>
  <si>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</si>
  <si>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</si>
  <si>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</si>
  <si>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</si>
  <si>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</si>
  <si>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</si>
  <si>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</si>
  <si>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</si>
  <si>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</si>
  <si>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</si>
  <si>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</si>
  <si>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</si>
  <si>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</si>
  <si>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</si>
  <si>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</si>
  <si>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</si>
  <si>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</si>
  <si>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</si>
  <si>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</si>
  <si>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</si>
  <si>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</si>
  <si>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</si>
  <si>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</si>
  <si>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</si>
  <si>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</si>
  <si>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</si>
  <si>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</si>
  <si>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</si>
  <si>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</si>
  <si>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</si>
  <si>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</si>
  <si>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</si>
  <si>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</si>
  <si>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</si>
  <si>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</si>
  <si>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</si>
  <si>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</si>
  <si>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</si>
  <si>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</si>
  <si>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</si>
  <si>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</si>
  <si>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</si>
  <si>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</si>
  <si>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</si>
  <si>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</si>
  <si>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</si>
  <si>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</si>
  <si>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</si>
  <si>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</si>
  <si>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</si>
  <si>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</si>
  <si>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</si>
  <si>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</si>
  <si>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</si>
  <si>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</si>
  <si>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</si>
  <si>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</si>
  <si>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</si>
  <si>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</si>
  <si>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</si>
  <si>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</si>
  <si>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</si>
  <si>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</si>
  <si>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</si>
  <si>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</si>
  <si>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</si>
  <si>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</si>
  <si>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</si>
  <si>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</si>
  <si>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</si>
  <si>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</si>
  <si>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</si>
  <si>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</si>
  <si>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</si>
  <si>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</si>
  <si>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</si>
  <si>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</si>
  <si>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</si>
  <si>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</si>
  <si>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</si>
  <si>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</si>
  <si>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</si>
  <si>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</si>
  <si>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</si>
  <si>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</si>
  <si>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</si>
  <si>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</si>
  <si>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</si>
  <si>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</si>
  <si>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</si>
  <si>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</si>
  <si>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</si>
  <si>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</si>
  <si>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</si>
  <si>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</si>
  <si>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</si>
  <si>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</si>
  <si>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</si>
  <si>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</si>
  <si>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</si>
  <si>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</si>
  <si>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</si>
  <si>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</si>
  <si>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</si>
  <si>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</si>
  <si>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</si>
  <si>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</si>
  <si>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</si>
  <si>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</si>
  <si>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</si>
  <si>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</si>
  <si>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</si>
  <si>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</si>
  <si>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</si>
  <si>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</si>
  <si>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</si>
  <si>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</si>
  <si>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</si>
  <si>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</si>
  <si>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</si>
  <si>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</si>
  <si>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</si>
  <si>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</si>
  <si>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</si>
  <si>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</si>
  <si>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</si>
  <si>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</si>
  <si>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</si>
  <si>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</si>
  <si>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</si>
  <si>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</si>
  <si>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</si>
  <si>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</si>
  <si>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</si>
  <si>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</si>
  <si>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</si>
  <si>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</si>
  <si>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</si>
  <si>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</si>
  <si>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</si>
  <si>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</si>
  <si>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</si>
  <si>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</si>
  <si>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</si>
  <si>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</si>
  <si>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</si>
  <si>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</si>
  <si>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</si>
  <si>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</si>
  <si>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</si>
  <si>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</si>
  <si>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</si>
  <si>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</si>
  <si>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</si>
  <si>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</si>
  <si>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</si>
  <si>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</si>
  <si>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</si>
  <si>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</si>
  <si>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</si>
  <si>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</si>
  <si>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</si>
  <si>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</si>
  <si>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</si>
  <si>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</si>
  <si>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</si>
  <si>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</si>
  <si>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</si>
  <si>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</si>
  <si>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</si>
  <si>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</si>
  <si>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</si>
  <si>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</si>
  <si>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</si>
  <si>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</si>
  <si>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</si>
  <si>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</si>
  <si>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</si>
  <si>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</si>
  <si>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</si>
  <si>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</si>
  <si>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</si>
  <si>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</si>
  <si>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</si>
  <si>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</si>
  <si>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</si>
  <si>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</si>
  <si>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</si>
  <si>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</si>
  <si>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</si>
  <si>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</si>
  <si>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</si>
  <si>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</si>
  <si>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</si>
  <si>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</si>
  <si>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</si>
  <si>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</si>
  <si>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</si>
  <si>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</si>
  <si>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</si>
  <si>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</si>
  <si>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</si>
  <si>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</si>
  <si>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</si>
  <si>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</si>
  <si>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</si>
  <si>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</si>
  <si>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</si>
  <si>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</si>
  <si>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</si>
  <si>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</si>
  <si>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</si>
  <si>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</si>
  <si>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</si>
  <si>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</si>
  <si>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</si>
  <si>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</si>
  <si>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</si>
  <si>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</si>
  <si>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</si>
  <si>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</si>
  <si>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</si>
  <si>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</si>
  <si>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</si>
  <si>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</si>
  <si>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</si>
  <si>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</si>
  <si>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</si>
  <si>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</si>
  <si>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</si>
  <si>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</si>
  <si>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</si>
  <si>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</si>
  <si>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</si>
  <si>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</si>
  <si>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</si>
  <si>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</si>
  <si>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</si>
  <si>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</si>
  <si>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</si>
  <si>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</si>
  <si>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</si>
  <si>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</si>
  <si>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</si>
  <si>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</si>
  <si>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</si>
  <si>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</si>
  <si>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</si>
  <si>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</si>
  <si>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</si>
  <si>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</si>
  <si>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</si>
  <si>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</si>
  <si>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</si>
  <si>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</si>
  <si>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</si>
  <si>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</si>
  <si>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</si>
  <si>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</si>
  <si>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</si>
  <si>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</si>
  <si>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</si>
  <si>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</si>
  <si>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</si>
  <si>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</si>
  <si>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</si>
  <si>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</si>
  <si>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</si>
  <si>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</si>
  <si>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</si>
  <si>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</si>
  <si>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</si>
  <si>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</si>
  <si>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</si>
  <si>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</si>
  <si>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</si>
  <si>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</si>
  <si>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</si>
  <si>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</si>
  <si>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</si>
  <si>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</si>
  <si>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</si>
  <si>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</si>
  <si>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</si>
  <si>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</si>
  <si>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</si>
  <si>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</si>
  <si>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</si>
  <si>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</si>
  <si>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</si>
  <si>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</si>
  <si>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</si>
  <si>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</si>
  <si>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</si>
  <si>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</si>
  <si>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</si>
  <si>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</si>
  <si>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</si>
  <si>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</si>
  <si>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</si>
  <si>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</si>
  <si>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</si>
  <si>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</si>
  <si>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</si>
  <si>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</si>
  <si>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</si>
  <si>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</si>
  <si>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</si>
  <si>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</si>
  <si>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</si>
  <si>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</si>
  <si>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</si>
  <si>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</si>
  <si>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</si>
  <si>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</si>
  <si>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</si>
  <si>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</si>
  <si>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</si>
  <si>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</si>
  <si>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</si>
  <si>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</si>
  <si>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</si>
  <si>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</si>
  <si>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</si>
  <si>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</si>
  <si>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</si>
  <si>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</si>
  <si>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</si>
  <si>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</si>
  <si>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</si>
  <si>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</si>
  <si>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</si>
  <si>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</si>
  <si>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</si>
  <si>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</si>
  <si>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</si>
  <si>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</si>
  <si>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</si>
  <si>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</si>
  <si>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</si>
  <si>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</si>
  <si>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</si>
  <si>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</si>
  <si>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</si>
  <si>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</si>
  <si>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</si>
  <si>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</si>
  <si>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</si>
  <si>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</si>
  <si>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</si>
  <si>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</si>
  <si>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</si>
  <si>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</si>
  <si>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</si>
  <si>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</si>
  <si>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</si>
  <si>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</si>
  <si>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 xml:space="preserve">MARIA JUDITE DA SILVA </t>
  </si>
  <si>
    <t>042.869.188-90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</si>
  <si>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</si>
  <si>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</si>
  <si>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</si>
  <si>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</si>
  <si>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</si>
  <si>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</si>
  <si>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</si>
  <si>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</si>
  <si>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</si>
  <si>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</si>
  <si>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</si>
  <si>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</si>
  <si>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</si>
  <si>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</si>
  <si>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</si>
  <si>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</si>
  <si>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</si>
  <si>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</si>
  <si>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</si>
  <si>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</si>
  <si>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</si>
  <si>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</si>
  <si>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</si>
  <si>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</si>
  <si>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</si>
  <si>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</si>
  <si>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</si>
  <si>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</si>
  <si>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</si>
  <si>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</si>
  <si>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</si>
  <si>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</si>
  <si>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</si>
  <si>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</si>
  <si>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</si>
  <si>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</si>
  <si>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</si>
  <si>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</si>
  <si>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</si>
  <si>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</si>
  <si>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</si>
  <si>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</si>
  <si>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</si>
  <si>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</si>
  <si>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</si>
  <si>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</si>
  <si>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</si>
  <si>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</si>
  <si>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</si>
  <si>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</si>
  <si>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</si>
  <si>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</si>
  <si>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</si>
  <si>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</si>
  <si>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</si>
  <si>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</si>
  <si>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</si>
  <si>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</si>
  <si>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</si>
  <si>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</si>
  <si>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</si>
  <si>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</si>
  <si>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</si>
  <si>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</si>
  <si>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</si>
  <si>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</si>
  <si>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</si>
  <si>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</si>
  <si>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</si>
  <si>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</si>
  <si>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</si>
  <si>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</si>
  <si>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</si>
  <si>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</si>
  <si>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</si>
  <si>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</si>
  <si>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</si>
  <si>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</si>
  <si>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</si>
  <si>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</si>
  <si>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</si>
  <si>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</si>
  <si>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</si>
  <si>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</si>
  <si>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</si>
  <si>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</si>
  <si>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</si>
  <si>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</si>
  <si>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</si>
  <si>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</si>
  <si>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</si>
  <si>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</si>
  <si>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</si>
  <si>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</si>
  <si>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</si>
  <si>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</si>
  <si>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</si>
  <si>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</si>
  <si>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</si>
  <si>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</si>
  <si>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</si>
  <si>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</si>
  <si>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</si>
  <si>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</si>
  <si>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</si>
  <si>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</si>
  <si>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</si>
  <si>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</si>
  <si>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</si>
  <si>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</si>
  <si>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</si>
  <si>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</si>
  <si>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</si>
  <si>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</si>
  <si>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</si>
  <si>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</si>
  <si>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</si>
  <si>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</si>
  <si>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</si>
  <si>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</si>
  <si>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</si>
  <si>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</si>
  <si>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</si>
  <si>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</si>
  <si>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</si>
  <si>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</si>
  <si>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</si>
  <si>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</si>
  <si>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</si>
  <si>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</si>
  <si>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</si>
  <si>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</si>
  <si>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</si>
  <si>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</si>
  <si>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</si>
  <si>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</si>
  <si>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</si>
  <si>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</si>
  <si>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</si>
  <si>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</si>
  <si>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</si>
  <si>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</si>
  <si>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</si>
  <si>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</si>
  <si>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</si>
  <si>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</si>
  <si>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</si>
  <si>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</si>
  <si>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</si>
  <si>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</si>
  <si>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</si>
  <si>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</si>
  <si>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</si>
  <si>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</si>
  <si>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</si>
  <si>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</si>
  <si>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</si>
  <si>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</si>
  <si>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</si>
  <si>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</si>
  <si>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</si>
  <si>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</si>
  <si>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</si>
  <si>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</si>
  <si>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</si>
  <si>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</si>
  <si>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</si>
  <si>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</si>
  <si>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</si>
  <si>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</si>
  <si>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</si>
  <si>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</si>
  <si>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</si>
  <si>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</si>
  <si>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</si>
  <si>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</si>
  <si>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</si>
  <si>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</si>
  <si>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</si>
  <si>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</si>
  <si>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</si>
  <si>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</si>
  <si>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</si>
  <si>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</si>
  <si>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</si>
  <si>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</si>
  <si>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</si>
  <si>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</si>
  <si>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</si>
  <si>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</si>
  <si>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</si>
  <si>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</si>
  <si>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</si>
  <si>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</si>
  <si>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</si>
  <si>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</si>
  <si>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</si>
  <si>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</si>
  <si>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</si>
  <si>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</si>
  <si>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</si>
  <si>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</si>
  <si>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</si>
  <si>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</si>
  <si>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</si>
  <si>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</si>
  <si>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</si>
  <si>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</si>
  <si>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</si>
  <si>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</si>
  <si>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</si>
  <si>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</si>
  <si>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</si>
  <si>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</si>
  <si>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</si>
  <si>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</si>
  <si>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</si>
  <si>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</si>
  <si>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</si>
  <si>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</si>
  <si>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002/0024/A</t>
  </si>
  <si>
    <t>CARLEILTON MACEDO CORREIA</t>
  </si>
  <si>
    <t>13.249.486</t>
  </si>
  <si>
    <t>077.087.438.00</t>
  </si>
  <si>
    <t>6014.2026/0003137-5</t>
  </si>
  <si>
    <t xml:space="preserve">EDMUNDO ESTEVAM DA COSTA </t>
  </si>
  <si>
    <t>26.256.460-9</t>
  </si>
  <si>
    <t>280.533.768-94</t>
  </si>
  <si>
    <t>6014.2026/0000583-8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</si>
  <si>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</si>
  <si>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</si>
  <si>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</si>
  <si>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</si>
  <si>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</si>
  <si>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</si>
  <si>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</si>
  <si>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</si>
  <si>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</si>
  <si>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</si>
  <si>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</si>
  <si>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</si>
  <si>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</si>
  <si>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</si>
  <si>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</si>
  <si>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</si>
  <si>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</si>
  <si>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</si>
  <si>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</si>
  <si>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</si>
  <si>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</si>
  <si>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</si>
  <si>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</si>
  <si>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</si>
  <si>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</si>
  <si>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</si>
  <si>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</si>
  <si>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</si>
  <si>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</si>
  <si>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</si>
  <si>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</si>
  <si>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</si>
  <si>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</si>
  <si>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</si>
  <si>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</si>
  <si>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</si>
  <si>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</si>
  <si>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</si>
  <si>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</si>
  <si>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</si>
  <si>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</si>
  <si>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</si>
  <si>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</si>
  <si>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</si>
  <si>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</si>
  <si>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</si>
  <si>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</si>
  <si>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</si>
  <si>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</si>
  <si>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</si>
  <si>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</si>
  <si>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</si>
  <si>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</si>
  <si>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</si>
  <si>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</si>
  <si>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</si>
  <si>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</si>
  <si>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</si>
  <si>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</si>
  <si>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</si>
  <si>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</si>
  <si>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</si>
  <si>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</si>
  <si>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</si>
  <si>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</si>
  <si>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</si>
  <si>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</si>
  <si>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</si>
  <si>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</si>
  <si>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</si>
  <si>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</si>
  <si>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</si>
  <si>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</si>
  <si>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</si>
  <si>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</si>
  <si>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</si>
  <si>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</si>
  <si>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</si>
  <si>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</si>
  <si>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</si>
  <si>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</si>
  <si>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</si>
  <si>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</si>
  <si>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</si>
  <si>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</si>
  <si>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</si>
  <si>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</si>
  <si>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</si>
  <si>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</si>
  <si>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</si>
  <si>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</si>
  <si>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</si>
  <si>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</si>
  <si>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</si>
  <si>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</si>
  <si>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</si>
  <si>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</si>
  <si>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</si>
  <si>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</si>
  <si>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</si>
  <si>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</si>
  <si>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</si>
  <si>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</si>
  <si>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</si>
  <si>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</si>
  <si>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</si>
  <si>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</si>
  <si>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</si>
  <si>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</si>
  <si>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</si>
  <si>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</si>
  <si>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</si>
  <si>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</si>
  <si>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</si>
  <si>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</si>
  <si>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</si>
  <si>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</si>
  <si>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</si>
  <si>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</si>
  <si>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</si>
  <si>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</si>
  <si>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</si>
  <si>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</si>
  <si>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</si>
  <si>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</si>
  <si>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</si>
  <si>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</si>
  <si>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</si>
  <si>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</si>
  <si>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</si>
  <si>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</si>
  <si>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</si>
  <si>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</si>
  <si>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</si>
  <si>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</si>
  <si>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</si>
  <si>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</si>
  <si>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</si>
  <si>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</si>
  <si>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</si>
  <si>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</si>
  <si>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</si>
  <si>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</si>
  <si>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</si>
  <si>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</si>
  <si>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</si>
  <si>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</si>
  <si>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</si>
  <si>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</si>
  <si>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</si>
  <si>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</si>
  <si>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</si>
  <si>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</si>
  <si>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</si>
  <si>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</si>
  <si>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</si>
  <si>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</si>
  <si>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</si>
  <si>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</si>
  <si>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</si>
  <si>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</si>
  <si>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</si>
  <si>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</si>
  <si>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</si>
  <si>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</si>
  <si>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</si>
  <si>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</si>
  <si>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</si>
  <si>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</si>
  <si>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</si>
  <si>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</si>
  <si>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</si>
  <si>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</si>
  <si>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</si>
  <si>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</si>
  <si>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</si>
  <si>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</si>
  <si>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</si>
  <si>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</si>
  <si>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</si>
  <si>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</si>
  <si>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</si>
  <si>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</si>
  <si>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</si>
  <si>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</si>
  <si>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</si>
  <si>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</si>
  <si>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</si>
  <si>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</si>
  <si>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</si>
  <si>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</si>
  <si>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</si>
  <si>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</si>
  <si>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</si>
  <si>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</si>
  <si>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</si>
  <si>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</si>
  <si>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</si>
  <si>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</si>
  <si>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</si>
  <si>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</si>
  <si>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</si>
  <si>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</si>
  <si>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</si>
  <si>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</si>
  <si>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</si>
  <si>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</si>
  <si>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</si>
  <si>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</si>
  <si>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</si>
  <si>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</si>
  <si>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</si>
  <si>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</si>
  <si>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</si>
  <si>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</si>
  <si>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</si>
  <si>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</si>
  <si>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</si>
  <si>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</si>
  <si>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</si>
  <si>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</si>
  <si>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</si>
  <si>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</si>
  <si>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</si>
  <si>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</si>
  <si>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</si>
  <si>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</si>
  <si>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</si>
  <si>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</si>
  <si>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</si>
  <si>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</si>
  <si>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</si>
  <si>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</si>
  <si>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</si>
  <si>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</si>
  <si>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</si>
  <si>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</si>
  <si>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</si>
  <si>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</si>
  <si>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</si>
  <si>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</si>
  <si>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</si>
  <si>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</si>
  <si>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</si>
  <si>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</si>
  <si>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</si>
  <si>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</si>
  <si>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</si>
  <si>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</si>
  <si>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</si>
  <si>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</si>
  <si>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</si>
  <si>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</si>
  <si>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</si>
  <si>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</si>
  <si>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</si>
  <si>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</si>
  <si>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</si>
  <si>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</si>
  <si>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</si>
  <si>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</si>
  <si>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</si>
  <si>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</si>
  <si>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</si>
  <si>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</si>
  <si>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</si>
  <si>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</si>
  <si>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</si>
  <si>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</si>
  <si>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</si>
  <si>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</si>
  <si>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</si>
  <si>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</si>
  <si>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</si>
  <si>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</si>
  <si>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</si>
  <si>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</si>
  <si>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</si>
  <si>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</si>
  <si>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</si>
  <si>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</si>
  <si>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</si>
  <si>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</si>
  <si>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</si>
  <si>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</si>
  <si>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</si>
  <si>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</si>
  <si>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</si>
  <si>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</si>
  <si>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</si>
  <si>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</si>
  <si>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</si>
  <si>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</si>
  <si>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</si>
  <si>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</si>
  <si>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</si>
  <si>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</si>
  <si>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</si>
  <si>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</si>
  <si>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</si>
  <si>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</si>
  <si>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</si>
  <si>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</si>
  <si>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</si>
  <si>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</si>
  <si>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</si>
  <si>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</si>
  <si>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</si>
  <si>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</si>
  <si>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</si>
  <si>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</si>
  <si>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</si>
  <si>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</si>
  <si>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</si>
  <si>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</si>
  <si>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</si>
  <si>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</si>
  <si>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</si>
  <si>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</si>
  <si>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</si>
  <si>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</si>
  <si>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</si>
  <si>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</si>
  <si>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</si>
  <si>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</si>
  <si>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</si>
  <si>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</si>
  <si>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</si>
  <si>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</si>
  <si>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</si>
  <si>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</si>
  <si>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</si>
  <si>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</si>
  <si>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</si>
  <si>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</si>
  <si>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</si>
  <si>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</si>
  <si>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</si>
  <si>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</si>
  <si>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</si>
  <si>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</si>
  <si>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</si>
  <si>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</si>
  <si>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</si>
  <si>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</si>
  <si>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</si>
  <si>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</si>
  <si>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</si>
  <si>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</si>
  <si>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</si>
  <si>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</si>
  <si>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</si>
  <si>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</si>
  <si>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</si>
  <si>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</si>
  <si>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</si>
  <si>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</si>
  <si>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</si>
  <si>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</si>
  <si>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</si>
  <si>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</si>
  <si>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</si>
  <si>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</si>
  <si>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</si>
  <si>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</si>
  <si>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</si>
  <si>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</si>
  <si>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</si>
  <si>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</si>
  <si>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</si>
  <si>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</si>
  <si>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</si>
  <si>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</si>
  <si>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</si>
  <si>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</si>
  <si>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</si>
  <si>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</si>
  <si>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</si>
  <si>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</si>
  <si>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</si>
  <si>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</si>
  <si>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</si>
  <si>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</si>
  <si>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</si>
  <si>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</si>
  <si>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</si>
  <si>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</si>
  <si>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</si>
  <si>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</si>
  <si>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</si>
  <si>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</si>
  <si>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</si>
  <si>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</si>
  <si>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</si>
  <si>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</si>
  <si>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</si>
  <si>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</si>
  <si>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</si>
  <si>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</si>
  <si>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</si>
  <si>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</si>
  <si>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</si>
  <si>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</si>
  <si>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</si>
  <si>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</si>
  <si>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</si>
  <si>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</si>
  <si>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</si>
  <si>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</si>
  <si>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</si>
  <si>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</si>
  <si>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</si>
  <si>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</si>
  <si>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</si>
  <si>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</si>
  <si>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</si>
  <si>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</si>
  <si>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</si>
  <si>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</si>
  <si>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</si>
  <si>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</si>
  <si>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</si>
  <si>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</si>
  <si>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</si>
  <si>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</si>
  <si>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</si>
  <si>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</si>
  <si>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</si>
  <si>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</si>
  <si>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</si>
  <si>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</si>
  <si>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</si>
  <si>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</si>
  <si>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</si>
  <si>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</si>
  <si>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</si>
  <si>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</si>
  <si>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</si>
  <si>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</si>
  <si>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</si>
  <si>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</si>
  <si>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</si>
  <si>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</si>
  <si>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</si>
  <si>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</si>
  <si>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</si>
  <si>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</si>
  <si>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</si>
  <si>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</si>
  <si>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</si>
  <si>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</si>
  <si>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</si>
  <si>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</si>
  <si>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</si>
  <si>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</si>
  <si>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</si>
  <si>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</si>
  <si>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</si>
  <si>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</si>
  <si>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</si>
  <si>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</si>
  <si>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</si>
  <si>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</si>
  <si>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</si>
  <si>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</si>
  <si>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</si>
  <si>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</si>
  <si>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</si>
  <si>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</si>
  <si>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</si>
  <si>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</si>
  <si>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</si>
  <si>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</si>
  <si>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</si>
  <si>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</si>
  <si>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</si>
  <si>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</si>
  <si>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</si>
  <si>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</si>
  <si>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</si>
  <si>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</si>
  <si>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</si>
  <si>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</si>
  <si>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</si>
  <si>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</si>
  <si>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</si>
  <si>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</si>
  <si>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</si>
  <si>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</si>
  <si>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</si>
  <si>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</si>
  <si>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</si>
  <si>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</si>
  <si>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</si>
  <si>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</si>
  <si>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</si>
  <si>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</si>
  <si>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</si>
  <si>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</si>
  <si>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</si>
  <si>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</si>
  <si>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</si>
  <si>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</si>
  <si>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</si>
  <si>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</si>
  <si>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</si>
  <si>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</si>
  <si>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</si>
  <si>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</si>
  <si>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</si>
  <si>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</si>
  <si>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</si>
  <si>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</si>
  <si>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</si>
  <si>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</si>
  <si>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</si>
  <si>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</si>
  <si>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</si>
  <si>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</si>
  <si>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</si>
  <si>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</si>
  <si>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</si>
  <si>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</si>
  <si>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</si>
  <si>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</si>
  <si>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</si>
  <si>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</si>
  <si>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</si>
  <si>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</si>
  <si>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</si>
  <si>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</si>
  <si>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</si>
  <si>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</si>
  <si>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</si>
  <si>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</si>
  <si>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</si>
  <si>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</si>
  <si>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</si>
  <si>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</si>
  <si>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</si>
  <si>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</si>
  <si>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</si>
  <si>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</si>
  <si>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</si>
  <si>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</si>
  <si>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</si>
  <si>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</si>
  <si>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</si>
  <si>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</si>
  <si>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</si>
  <si>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</si>
  <si>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</si>
  <si>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</si>
  <si>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</si>
  <si>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</si>
  <si>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</si>
  <si>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</si>
  <si>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</si>
  <si>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</si>
  <si>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</si>
  <si>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</si>
  <si>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</si>
  <si>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</si>
  <si>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</si>
  <si>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</si>
  <si>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</si>
  <si>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</si>
  <si>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</si>
  <si>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</si>
  <si>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</si>
  <si>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</si>
  <si>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</si>
  <si>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</si>
  <si>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</si>
  <si>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</si>
  <si>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</si>
  <si>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</si>
  <si>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</si>
  <si>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</si>
  <si>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</si>
  <si>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</si>
  <si>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</si>
  <si>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</si>
  <si>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</si>
  <si>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</si>
  <si>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</si>
  <si>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</si>
  <si>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</si>
  <si>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</si>
  <si>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</si>
  <si>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</si>
  <si>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</si>
  <si>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</si>
  <si>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</si>
  <si>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</si>
  <si>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</si>
  <si>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</si>
  <si>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</si>
  <si>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</si>
  <si>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</si>
  <si>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</si>
  <si>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</si>
  <si>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</si>
  <si>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</si>
  <si>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</si>
  <si>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</si>
  <si>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</si>
  <si>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</si>
  <si>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</si>
  <si>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</si>
  <si>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</si>
  <si>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</si>
  <si>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</si>
  <si>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</si>
  <si>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</si>
  <si>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</si>
  <si>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</si>
  <si>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</si>
  <si>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</si>
  <si>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</si>
  <si>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</si>
  <si>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</si>
  <si>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</si>
  <si>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</si>
  <si>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</si>
  <si>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</si>
  <si>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</si>
  <si>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</si>
  <si>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</si>
  <si>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</si>
  <si>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</si>
  <si>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</si>
  <si>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</si>
  <si>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</si>
  <si>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</si>
  <si>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</si>
  <si>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</si>
  <si>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</si>
  <si>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</si>
  <si>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</si>
  <si>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</si>
  <si>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</si>
  <si>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</si>
  <si>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</si>
  <si>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</si>
  <si>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</si>
  <si>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</si>
  <si>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</si>
  <si>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</si>
  <si>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</si>
  <si>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</si>
  <si>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</si>
  <si>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</si>
  <si>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</si>
  <si>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</si>
  <si>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</si>
  <si>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</si>
  <si>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</si>
  <si>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</si>
  <si>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</si>
  <si>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</si>
  <si>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</si>
  <si>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</si>
  <si>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</si>
  <si>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</si>
  <si>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</si>
  <si>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</si>
  <si>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</si>
  <si>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</si>
  <si>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</si>
  <si>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</si>
  <si>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</si>
  <si>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</si>
  <si>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</si>
  <si>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</si>
  <si>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</si>
  <si>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</si>
  <si>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</si>
  <si>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</si>
  <si>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</si>
  <si>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</si>
  <si>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</si>
  <si>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</si>
  <si>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</si>
  <si>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</si>
  <si>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</si>
  <si>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</si>
  <si>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</si>
  <si>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</si>
  <si>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</si>
  <si>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</si>
  <si>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</si>
  <si>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</si>
  <si>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</si>
  <si>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</si>
  <si>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</si>
  <si>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</si>
  <si>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</si>
  <si>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</si>
  <si>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</si>
  <si>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</si>
  <si>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</si>
  <si>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</si>
  <si>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</si>
  <si>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</si>
  <si>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</si>
  <si>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</si>
  <si>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</si>
  <si>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</si>
  <si>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</si>
  <si>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</si>
  <si>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</si>
  <si>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</si>
  <si>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</si>
  <si>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</si>
  <si>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</si>
  <si>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</si>
  <si>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</si>
  <si>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</si>
  <si>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</si>
  <si>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</si>
  <si>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</si>
  <si>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</si>
  <si>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</si>
  <si>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</si>
  <si>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</si>
  <si>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</si>
  <si>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</si>
  <si>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</si>
  <si>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</si>
  <si>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</si>
  <si>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</si>
  <si>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</si>
  <si>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</si>
  <si>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</si>
  <si>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</si>
  <si>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</si>
  <si>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</si>
  <si>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</si>
  <si>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</si>
  <si>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</si>
  <si>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</si>
  <si>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</si>
  <si>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</si>
  <si>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</si>
  <si>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</si>
  <si>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</si>
  <si>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</si>
  <si>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</si>
  <si>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</si>
  <si>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</si>
  <si>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</si>
  <si>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</si>
  <si>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</si>
  <si>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</si>
  <si>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</si>
  <si>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</si>
  <si>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</si>
  <si>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</si>
  <si>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</si>
  <si>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</si>
  <si>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</si>
  <si>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</si>
  <si>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</si>
  <si>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</si>
  <si>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</si>
  <si>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</si>
  <si>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</si>
  <si>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</si>
  <si>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</si>
  <si>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</si>
  <si>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</si>
  <si>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</si>
  <si>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</si>
  <si>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</si>
  <si>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</si>
  <si>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</si>
  <si>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</si>
  <si>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</si>
  <si>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</si>
  <si>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</si>
  <si>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</si>
  <si>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</si>
  <si>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</si>
  <si>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</si>
  <si>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</si>
  <si>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</si>
  <si>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</si>
  <si>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</si>
  <si>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</si>
  <si>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</si>
  <si>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</si>
  <si>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</si>
  <si>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</si>
  <si>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</si>
  <si>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</si>
  <si>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</si>
  <si>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</si>
  <si>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</si>
  <si>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</si>
  <si>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</si>
  <si>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</si>
  <si>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</si>
  <si>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</si>
  <si>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</si>
  <si>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</si>
  <si>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</si>
  <si>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</si>
  <si>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</si>
  <si>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</si>
  <si>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</si>
  <si>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</si>
  <si>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</si>
  <si>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</si>
  <si>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</si>
  <si>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</si>
  <si>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</si>
  <si>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</si>
  <si>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</si>
  <si>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</si>
  <si>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</si>
  <si>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</si>
  <si>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</si>
  <si>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</si>
  <si>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</si>
  <si>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</si>
  <si>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</si>
  <si>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</si>
  <si>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</si>
  <si>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</si>
  <si>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</si>
  <si>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</si>
  <si>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</si>
  <si>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</si>
  <si>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</si>
  <si>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</si>
  <si>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</si>
  <si>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</si>
  <si>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</si>
  <si>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</si>
  <si>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</si>
  <si>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</si>
  <si>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</si>
  <si>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</si>
  <si>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</si>
  <si>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</si>
  <si>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</si>
  <si>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</si>
  <si>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</si>
  <si>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</si>
  <si>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</si>
  <si>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</si>
  <si>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</si>
  <si>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</si>
  <si>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</si>
  <si>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</si>
  <si>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</si>
  <si>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</si>
  <si>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</si>
  <si>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</si>
  <si>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</si>
  <si>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</si>
  <si>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</si>
  <si>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</si>
  <si>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</si>
  <si>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</si>
  <si>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</si>
  <si>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</si>
  <si>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</si>
  <si>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</si>
  <si>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</si>
  <si>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</si>
  <si>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</si>
  <si>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</si>
  <si>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</si>
  <si>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</si>
  <si>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</si>
  <si>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</si>
  <si>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</si>
  <si>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</si>
  <si>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</si>
  <si>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</si>
  <si>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</si>
  <si>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</si>
  <si>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</si>
  <si>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</si>
  <si>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</si>
  <si>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</si>
  <si>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</si>
  <si>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</si>
  <si>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</si>
  <si>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</si>
  <si>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</si>
  <si>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</si>
  <si>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</si>
  <si>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</si>
  <si>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</si>
  <si>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</si>
  <si>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</si>
  <si>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</si>
  <si>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</si>
  <si>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</si>
  <si>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</si>
  <si>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</si>
  <si>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</si>
  <si>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</si>
  <si>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</si>
  <si>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</si>
  <si>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</si>
  <si>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</si>
  <si>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</si>
  <si>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</si>
  <si>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</si>
  <si>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</si>
  <si>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</si>
  <si>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</si>
  <si>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</si>
  <si>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</si>
  <si>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</si>
  <si>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</si>
  <si>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</si>
  <si>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</si>
  <si>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</si>
  <si>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</si>
  <si>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</si>
  <si>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</si>
  <si>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</si>
  <si>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</si>
  <si>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</si>
  <si>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</si>
  <si>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</si>
  <si>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</si>
  <si>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</si>
  <si>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</si>
  <si>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</si>
  <si>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</si>
  <si>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</si>
  <si>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</si>
  <si>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</si>
  <si>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</si>
  <si>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</si>
  <si>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</si>
  <si>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</si>
  <si>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</si>
  <si>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</si>
  <si>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</si>
  <si>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</si>
  <si>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</si>
  <si>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</si>
  <si>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</si>
  <si>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</si>
  <si>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</si>
  <si>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</si>
  <si>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</si>
  <si>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</si>
  <si>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</si>
  <si>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</si>
  <si>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</si>
  <si>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</si>
  <si>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</si>
  <si>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</si>
  <si>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</si>
  <si>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</si>
  <si>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</si>
  <si>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</si>
  <si>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</si>
  <si>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</si>
  <si>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</si>
  <si>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</si>
  <si>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</si>
  <si>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</si>
  <si>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</si>
  <si>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</si>
  <si>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</si>
  <si>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</si>
  <si>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</si>
  <si>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</si>
  <si>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</si>
  <si>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</si>
  <si>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</si>
  <si>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</si>
  <si>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</si>
  <si>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</si>
  <si>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</si>
  <si>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</si>
  <si>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</si>
  <si>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</si>
  <si>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</si>
  <si>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</si>
  <si>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</si>
  <si>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</si>
  <si>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</si>
  <si>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</si>
  <si>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</si>
  <si>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</si>
  <si>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</si>
  <si>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</si>
  <si>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</si>
  <si>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</si>
  <si>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</si>
  <si>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</si>
  <si>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</si>
  <si>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</si>
  <si>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</si>
  <si>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</si>
  <si>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</si>
  <si>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</si>
  <si>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</si>
  <si>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</si>
  <si>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</si>
  <si>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</si>
  <si>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</si>
  <si>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</si>
  <si>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</si>
  <si>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</si>
  <si>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</si>
  <si>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</si>
  <si>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</si>
  <si>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</si>
  <si>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</si>
  <si>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</si>
  <si>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</si>
  <si>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</si>
  <si>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</si>
  <si>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</si>
  <si>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</si>
  <si>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</si>
  <si>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</si>
  <si>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</si>
  <si>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</si>
  <si>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</si>
  <si>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</si>
  <si>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 xml:space="preserve">LUCIANA FERREIRA </t>
  </si>
  <si>
    <t>34.628.277-9</t>
  </si>
  <si>
    <t>318.779.838-10</t>
  </si>
  <si>
    <t>6014.2026/0002407-7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</si>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</sst>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0" fontId="39" fillId="0" borderId="14" xfId="0" applyFont="1" applyBorder="1" applyAlignment="1">
      <alignment horizontal="center" vertical="top" wrapText="1"/>
    </xf>
    <xf numFmtId="168" fontId="35" fillId="21" borderId="0" xfId="0" applyNumberFormat="1" applyFont="1" applyFill="1" applyAlignment="1">
      <alignment horizontal="center" vertical="center"/>
    </xf>
    <xf numFmtId="168" fontId="36" fillId="11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168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1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1" tableId="0">
      <sortRules>
        <sortRule colId="4">
          <sortCondition ref="F9:F981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5" priority="5" stopIfTrue="1"/>
  </conditionalFormatting>
  <conditionalFormatting sqref="A3:A128">
    <cfRule type="duplicateValues" dxfId="294" priority="4" stopIfTrue="1"/>
  </conditionalFormatting>
  <conditionalFormatting sqref="A3:A626">
    <cfRule type="duplicateValues" dxfId="293" priority="1" stopIfTrue="1"/>
  </conditionalFormatting>
  <conditionalFormatting sqref="B2684">
    <cfRule type="duplicateValues" dxfId="292" priority="3" stopIfTrue="1"/>
  </conditionalFormatting>
  <conditionalFormatting sqref="C689">
    <cfRule type="duplicateValues" dxfId="291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6"/>
  <sheetViews>
    <sheetView showGridLines="0" tabSelected="1" zoomScale="85" zoomScaleNormal="85" workbookViewId="0">
      <pane xSplit="6" ySplit="9" topLeftCell="AN574" activePane="bottomRight" state="frozen"/>
      <selection pane="bottomRight" activeCell="AN587" sqref="AN587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/>
      <c r="AM11" s="103"/>
      <c r="AN11" s="103"/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6" t="s">
        <v>4461</v>
      </c>
      <c r="BM13" s="239"/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9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6" t="s">
        <v>4461</v>
      </c>
      <c r="BM21" s="237"/>
    </row>
    <row r="22" spans="1:107" s="231" customFormat="1" ht="29.25" customHeight="1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ref="BC101:BC125" si="9">IF(AY101-KD101=0,"",AY101-O101)</f>
        <v>99</v>
      </c>
      <c r="BD101" s="103" t="str">
        <f t="shared" ref="BD101:BD125" si="10">IF(AND(AI101&lt;&gt;"SIM",AI101="UH"),"AA","INDENIZAÇÃO")</f>
        <v>INDENIZAÇÃO</v>
      </c>
      <c r="BE101" s="103" t="str">
        <f t="shared" ref="BE101:BE125" si="11"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6" t="s">
        <v>4461</v>
      </c>
      <c r="BM101" s="239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9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9"/>
        <v/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6" t="s">
        <v>4461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9"/>
        <v/>
      </c>
      <c r="BD119" s="103" t="str">
        <f t="shared" si="10"/>
        <v>INDENIZAÇÃO</v>
      </c>
      <c r="BE119" s="103" t="str">
        <f t="shared" si="11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customHeight="1">
      <c r="A120" s="103">
        <v>111</v>
      </c>
      <c r="B120" s="103" t="s">
        <v>4431</v>
      </c>
      <c r="C120" s="103" t="s">
        <v>4350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42" t="s">
        <v>4343</v>
      </c>
      <c r="J120" s="149" t="s">
        <v>4904</v>
      </c>
      <c r="K120" s="149" t="s">
        <v>4432</v>
      </c>
      <c r="L120" s="149" t="s">
        <v>4905</v>
      </c>
      <c r="M120" s="103" t="s">
        <v>4333</v>
      </c>
      <c r="N120" s="103" t="s">
        <v>4459</v>
      </c>
      <c r="O120" s="105">
        <v>46086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4904</v>
      </c>
      <c r="AC120" s="149" t="s">
        <v>4432</v>
      </c>
      <c r="AD120" s="149" t="s">
        <v>4905</v>
      </c>
      <c r="AE120" s="165" t="s">
        <v>4343</v>
      </c>
      <c r="AF120" s="165" t="s">
        <v>4333</v>
      </c>
      <c r="AG120" s="208">
        <v>173624.01</v>
      </c>
      <c r="AH120" s="208">
        <v>173624.01</v>
      </c>
      <c r="AI120" s="165" t="s">
        <v>4336</v>
      </c>
      <c r="AJ120" s="104" t="s">
        <v>4438</v>
      </c>
      <c r="AK120" s="103">
        <v>151549560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4338</v>
      </c>
      <c r="AR120" s="103" t="s">
        <v>4338</v>
      </c>
      <c r="AS120" s="143" t="s">
        <v>4338</v>
      </c>
      <c r="AT120" s="143" t="s">
        <v>4338</v>
      </c>
      <c r="AU120" s="105">
        <v>46140</v>
      </c>
      <c r="AV120" s="143" t="s">
        <v>4338</v>
      </c>
      <c r="AW120" s="143" t="s">
        <v>4338</v>
      </c>
      <c r="AX120" s="105">
        <v>46147</v>
      </c>
      <c r="AY120" s="106">
        <v>46147</v>
      </c>
      <c r="AZ120" s="174" t="s">
        <v>4453</v>
      </c>
      <c r="BA120" s="174" t="s">
        <v>4454</v>
      </c>
      <c r="BB120" s="112" t="s">
        <v>4338</v>
      </c>
      <c r="BC120" s="220">
        <f t="shared" si="9"/>
        <v>61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12" t="s">
        <v>4338</v>
      </c>
      <c r="BJ120" s="112" t="s">
        <v>4338</v>
      </c>
      <c r="BK120" s="105">
        <v>46195</v>
      </c>
      <c r="BL120" s="112" t="s">
        <v>4338</v>
      </c>
      <c r="BM120" s="262" t="s">
        <v>4453</v>
      </c>
    </row>
    <row r="121" spans="1:67" s="232" customFormat="1" ht="29.25" customHeight="1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7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76" t="s">
        <v>4453</v>
      </c>
      <c r="AZ121" s="106"/>
      <c r="BA121" s="174" t="s">
        <v>4330</v>
      </c>
      <c r="BB121" s="112"/>
      <c r="BC121" s="220" t="e">
        <f t="shared" si="9"/>
        <v>#VALUE!</v>
      </c>
      <c r="BD121" s="103" t="str">
        <f t="shared" si="10"/>
        <v>INDENIZAÇÃO</v>
      </c>
      <c r="BE121" s="103" t="str">
        <f t="shared" si="11"/>
        <v>NÃO</v>
      </c>
      <c r="BF121" s="112"/>
      <c r="BG121" s="147"/>
      <c r="BH121" s="147"/>
      <c r="BI121" s="112"/>
      <c r="BJ121" s="112"/>
      <c r="BK121" s="112"/>
      <c r="BL121" s="112"/>
      <c r="BM121" s="236"/>
    </row>
    <row r="122" spans="1:67" s="232" customFormat="1" ht="29.25" customHeight="1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4912</v>
      </c>
      <c r="G122" s="103" t="s">
        <v>4330</v>
      </c>
      <c r="H122" s="103" t="s">
        <v>4331</v>
      </c>
      <c r="I122" s="142" t="s">
        <v>4343</v>
      </c>
      <c r="J122" s="149" t="s">
        <v>4913</v>
      </c>
      <c r="K122" s="149" t="s">
        <v>4909</v>
      </c>
      <c r="L122" s="149" t="s">
        <v>4914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4913</v>
      </c>
      <c r="AC122" s="149" t="s">
        <v>4909</v>
      </c>
      <c r="AD122" s="149" t="s">
        <v>4914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7" t="s">
        <v>4915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76" t="s">
        <v>4453</v>
      </c>
      <c r="AZ122" s="157"/>
      <c r="BA122" s="109" t="s">
        <v>4330</v>
      </c>
      <c r="BB122" s="112"/>
      <c r="BC122" s="220" t="e">
        <f t="shared" si="9"/>
        <v>#VALUE!</v>
      </c>
      <c r="BD122" s="103" t="str">
        <f t="shared" si="10"/>
        <v>INDENIZAÇÃO</v>
      </c>
      <c r="BE122" s="103" t="str">
        <f t="shared" si="11"/>
        <v>NÃO</v>
      </c>
      <c r="BF122" s="112"/>
      <c r="BG122" s="147"/>
      <c r="BH122" s="147"/>
      <c r="BI122" s="112"/>
      <c r="BJ122" s="112"/>
      <c r="BK122" s="112"/>
      <c r="BL122" s="112"/>
      <c r="BM122" s="236"/>
    </row>
    <row r="123" spans="1:67" s="232" customFormat="1" ht="29.25" customHeight="1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4916</v>
      </c>
      <c r="G123" s="103" t="s">
        <v>4330</v>
      </c>
      <c r="H123" s="103" t="s">
        <v>4331</v>
      </c>
      <c r="I123" s="142" t="s">
        <v>4343</v>
      </c>
      <c r="J123" s="149" t="s">
        <v>4917</v>
      </c>
      <c r="K123" s="149" t="s">
        <v>4918</v>
      </c>
      <c r="L123" s="149" t="s">
        <v>4919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4917</v>
      </c>
      <c r="AC123" s="149" t="s">
        <v>4918</v>
      </c>
      <c r="AD123" s="149" t="s">
        <v>4919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7" t="s">
        <v>4920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12" t="s">
        <v>4338</v>
      </c>
      <c r="AW123" s="109" t="s">
        <v>4453</v>
      </c>
      <c r="AX123" s="109"/>
      <c r="AY123" s="157"/>
      <c r="AZ123" s="157"/>
      <c r="BA123" s="109" t="s">
        <v>4330</v>
      </c>
      <c r="BB123" s="112"/>
      <c r="BC123" s="220" t="str">
        <f t="shared" si="9"/>
        <v/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4921</v>
      </c>
      <c r="G124" s="103" t="s">
        <v>4330</v>
      </c>
      <c r="H124" s="103" t="s">
        <v>4331</v>
      </c>
      <c r="I124" s="103" t="s">
        <v>4343</v>
      </c>
      <c r="J124" s="149" t="s">
        <v>4922</v>
      </c>
      <c r="K124" s="149" t="s">
        <v>4923</v>
      </c>
      <c r="L124" s="149" t="s">
        <v>4924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4922</v>
      </c>
      <c r="AC124" s="149" t="s">
        <v>4923</v>
      </c>
      <c r="AD124" s="149" t="s">
        <v>4924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4921</v>
      </c>
      <c r="G125" s="103" t="s">
        <v>4330</v>
      </c>
      <c r="H125" s="103" t="s">
        <v>4331</v>
      </c>
      <c r="I125" s="142" t="s">
        <v>4925</v>
      </c>
      <c r="J125" s="149" t="s">
        <v>4926</v>
      </c>
      <c r="K125" s="149" t="s">
        <v>4927</v>
      </c>
      <c r="L125" s="149" t="s">
        <v>4928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4929</v>
      </c>
      <c r="AC125" s="149" t="s">
        <v>4930</v>
      </c>
      <c r="AD125" s="149" t="s">
        <v>4931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7" t="s">
        <v>4932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09" t="s">
        <v>4453</v>
      </c>
      <c r="AX125" s="109"/>
      <c r="AY125" s="157"/>
      <c r="AZ125" s="157"/>
      <c r="BA125" s="109" t="s">
        <v>4330</v>
      </c>
      <c r="BB125" s="112"/>
      <c r="BC125" s="220" t="str">
        <f t="shared" si="9"/>
        <v/>
      </c>
      <c r="BD125" s="103" t="str">
        <f t="shared" si="10"/>
        <v>INDENIZAÇÃO</v>
      </c>
      <c r="BE125" s="103" t="str">
        <f t="shared" si="11"/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customHeight="1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4933</v>
      </c>
      <c r="G126" s="103" t="s">
        <v>4330</v>
      </c>
      <c r="H126" s="103" t="s">
        <v>4331</v>
      </c>
      <c r="I126" s="142" t="s">
        <v>4343</v>
      </c>
      <c r="J126" s="149" t="s">
        <v>4934</v>
      </c>
      <c r="K126" s="149"/>
      <c r="L126" s="149" t="s">
        <v>4935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4934</v>
      </c>
      <c r="AC126" s="149" t="s">
        <v>4909</v>
      </c>
      <c r="AD126" s="149" t="s">
        <v>4935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customHeight="1">
      <c r="A127" s="103">
        <v>118</v>
      </c>
      <c r="B127" s="103" t="s">
        <v>4431</v>
      </c>
      <c r="C127" s="103" t="s">
        <v>4350</v>
      </c>
      <c r="D127" s="103">
        <v>1</v>
      </c>
      <c r="E127" s="103" t="s">
        <v>4432</v>
      </c>
      <c r="F127" s="104" t="s">
        <v>4933</v>
      </c>
      <c r="G127" s="103" t="s">
        <v>4330</v>
      </c>
      <c r="H127" s="103" t="s">
        <v>4331</v>
      </c>
      <c r="I127" s="142" t="s">
        <v>4343</v>
      </c>
      <c r="J127" s="149" t="s">
        <v>4937</v>
      </c>
      <c r="K127" s="149" t="s">
        <v>4938</v>
      </c>
      <c r="L127" s="149" t="s">
        <v>4939</v>
      </c>
      <c r="M127" s="103" t="s">
        <v>4333</v>
      </c>
      <c r="N127" s="103" t="s">
        <v>4459</v>
      </c>
      <c r="O127" s="105">
        <v>46086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4937</v>
      </c>
      <c r="AC127" s="149" t="s">
        <v>4938</v>
      </c>
      <c r="AD127" s="149" t="s">
        <v>4939</v>
      </c>
      <c r="AE127" s="103" t="s">
        <v>4343</v>
      </c>
      <c r="AF127" s="103" t="s">
        <v>4333</v>
      </c>
      <c r="AG127" s="194">
        <v>201636.55</v>
      </c>
      <c r="AH127" s="194">
        <v>201636.55</v>
      </c>
      <c r="AI127" s="103" t="s">
        <v>4447</v>
      </c>
      <c r="AJ127" s="104" t="s">
        <v>4438</v>
      </c>
      <c r="AK127" s="103">
        <v>150959152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4940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46128</v>
      </c>
      <c r="AV127" s="103" t="s">
        <v>4338</v>
      </c>
      <c r="AW127" s="103" t="s">
        <v>4338</v>
      </c>
      <c r="AX127" s="105">
        <v>46139</v>
      </c>
      <c r="AY127" s="106">
        <v>46139</v>
      </c>
      <c r="AZ127" s="106" t="s">
        <v>4453</v>
      </c>
      <c r="BA127" s="107" t="s">
        <v>4454</v>
      </c>
      <c r="BB127" s="136" t="s">
        <v>4338</v>
      </c>
      <c r="BC127" s="220">
        <f t="shared" ref="BC127:BC132" si="12">IF(AY127-KD127=0,"",AY127-O127)</f>
        <v>53</v>
      </c>
      <c r="BD127" s="103" t="str">
        <f t="shared" ref="BD127:BD132" si="13">IF(AND(AI127&lt;&gt;"SIM",AI127="UH"),"AA","INDENIZAÇÃO")</f>
        <v>INDENIZAÇÃO</v>
      </c>
      <c r="BE127" s="103" t="str">
        <f t="shared" ref="BE127:BE132" si="14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12" t="s">
        <v>4338</v>
      </c>
      <c r="BJ127" s="112" t="s">
        <v>4338</v>
      </c>
      <c r="BK127" s="105">
        <v>46195</v>
      </c>
      <c r="BL127" s="112" t="s">
        <v>4338</v>
      </c>
      <c r="BM127" s="262" t="s">
        <v>4453</v>
      </c>
    </row>
    <row r="128" spans="1:67" s="232" customFormat="1" ht="29.25" customHeight="1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4941</v>
      </c>
      <c r="G128" s="103" t="s">
        <v>4330</v>
      </c>
      <c r="H128" s="103" t="s">
        <v>4331</v>
      </c>
      <c r="I128" s="103" t="s">
        <v>4343</v>
      </c>
      <c r="J128" s="149" t="s">
        <v>4942</v>
      </c>
      <c r="K128" s="149" t="s">
        <v>4943</v>
      </c>
      <c r="L128" s="149" t="s">
        <v>4944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4942</v>
      </c>
      <c r="AC128" s="149" t="s">
        <v>4943</v>
      </c>
      <c r="AD128" s="149" t="s">
        <v>4944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4945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4945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12"/>
        <v>33</v>
      </c>
      <c r="BD128" s="103" t="str">
        <f t="shared" si="13"/>
        <v>INDENIZAÇÃO</v>
      </c>
      <c r="BE128" s="103" t="str">
        <f t="shared" si="14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4941</v>
      </c>
      <c r="G129" s="103" t="s">
        <v>4330</v>
      </c>
      <c r="H129" s="103" t="s">
        <v>4352</v>
      </c>
      <c r="I129" s="142" t="s">
        <v>4343</v>
      </c>
      <c r="J129" s="149" t="s">
        <v>4946</v>
      </c>
      <c r="K129" s="149" t="s">
        <v>4947</v>
      </c>
      <c r="L129" s="149" t="s">
        <v>4948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4946</v>
      </c>
      <c r="AC129" s="149" t="s">
        <v>4947</v>
      </c>
      <c r="AD129" s="149" t="s">
        <v>4948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4949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12"/>
        <v>46</v>
      </c>
      <c r="BD129" s="103" t="str">
        <f t="shared" si="13"/>
        <v>INDENIZAÇÃO</v>
      </c>
      <c r="BE129" s="103" t="str">
        <f t="shared" si="14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4950</v>
      </c>
      <c r="G130" s="112" t="s">
        <v>4330</v>
      </c>
      <c r="H130" s="112" t="s">
        <v>4331</v>
      </c>
      <c r="I130" s="112" t="s">
        <v>4343</v>
      </c>
      <c r="J130" s="150" t="s">
        <v>4951</v>
      </c>
      <c r="K130" s="150" t="s">
        <v>4952</v>
      </c>
      <c r="L130" s="141" t="s">
        <v>4953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4951</v>
      </c>
      <c r="AC130" s="150" t="s">
        <v>4952</v>
      </c>
      <c r="AD130" s="141" t="s">
        <v>4953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7" t="s">
        <v>4954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09" t="s">
        <v>4453</v>
      </c>
      <c r="AX130" s="109"/>
      <c r="AY130" s="157"/>
      <c r="AZ130" s="157"/>
      <c r="BA130" s="109" t="s">
        <v>4330</v>
      </c>
      <c r="BB130" s="112"/>
      <c r="BC130" s="220" t="str">
        <f t="shared" si="12"/>
        <v/>
      </c>
      <c r="BD130" s="103" t="str">
        <f t="shared" si="13"/>
        <v>INDENIZAÇÃO</v>
      </c>
      <c r="BE130" s="103" t="str">
        <f t="shared" si="14"/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4955</v>
      </c>
      <c r="G131" s="112" t="s">
        <v>4330</v>
      </c>
      <c r="H131" s="112" t="s">
        <v>4331</v>
      </c>
      <c r="I131" s="112" t="s">
        <v>4343</v>
      </c>
      <c r="J131" s="150" t="s">
        <v>4956</v>
      </c>
      <c r="K131" s="150" t="s">
        <v>4957</v>
      </c>
      <c r="L131" s="141" t="s">
        <v>4958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4956</v>
      </c>
      <c r="AC131" s="150" t="s">
        <v>4957</v>
      </c>
      <c r="AD131" s="141" t="s">
        <v>4958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7" t="s">
        <v>4959</v>
      </c>
      <c r="AQ131" s="103" t="s">
        <v>4338</v>
      </c>
      <c r="AR131" s="103" t="s">
        <v>4338</v>
      </c>
      <c r="AS131" s="103" t="s">
        <v>4338</v>
      </c>
      <c r="AT131" s="292" t="s">
        <v>4960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2"/>
        <v/>
      </c>
      <c r="BD131" s="103" t="str">
        <f t="shared" si="13"/>
        <v>INDENIZAÇÃO</v>
      </c>
      <c r="BE131" s="103" t="str">
        <f t="shared" si="14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4961</v>
      </c>
      <c r="G132" s="103" t="s">
        <v>4330</v>
      </c>
      <c r="H132" s="103" t="s">
        <v>4331</v>
      </c>
      <c r="I132" s="103" t="s">
        <v>4343</v>
      </c>
      <c r="J132" s="149" t="s">
        <v>4962</v>
      </c>
      <c r="K132" s="149" t="s">
        <v>4963</v>
      </c>
      <c r="L132" s="149" t="s">
        <v>4964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4962</v>
      </c>
      <c r="AC132" s="149" t="s">
        <v>4963</v>
      </c>
      <c r="AD132" s="149" t="s">
        <v>4964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4965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12"/>
        <v>45</v>
      </c>
      <c r="BD132" s="103" t="str">
        <f t="shared" si="13"/>
        <v>INDENIZAÇÃO</v>
      </c>
      <c r="BE132" s="103" t="str">
        <f t="shared" si="14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4966</v>
      </c>
      <c r="G133" s="103" t="s">
        <v>4330</v>
      </c>
      <c r="H133" s="103" t="s">
        <v>4331</v>
      </c>
      <c r="I133" s="142" t="s">
        <v>4343</v>
      </c>
      <c r="J133" s="114" t="s">
        <v>4967</v>
      </c>
      <c r="K133" s="149" t="s">
        <v>4968</v>
      </c>
      <c r="L133" s="149" t="s">
        <v>4969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4967</v>
      </c>
      <c r="AC133" s="149" t="s">
        <v>4968</v>
      </c>
      <c r="AD133" s="149" t="s">
        <v>4969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4970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customHeight="1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4966</v>
      </c>
      <c r="G134" s="103" t="s">
        <v>4330</v>
      </c>
      <c r="H134" s="103" t="s">
        <v>4331</v>
      </c>
      <c r="I134" s="142" t="s">
        <v>4343</v>
      </c>
      <c r="J134" s="114" t="s">
        <v>4971</v>
      </c>
      <c r="K134" s="149" t="s">
        <v>4972</v>
      </c>
      <c r="L134" s="149" t="s">
        <v>4973</v>
      </c>
      <c r="M134" s="103" t="s">
        <v>4333</v>
      </c>
      <c r="N134" s="103" t="s">
        <v>4459</v>
      </c>
      <c r="O134" s="105">
        <v>46038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4971</v>
      </c>
      <c r="AC134" s="114" t="s">
        <v>4972</v>
      </c>
      <c r="AD134" s="114" t="s">
        <v>4973</v>
      </c>
      <c r="AE134" s="103" t="s">
        <v>4343</v>
      </c>
      <c r="AF134" s="103" t="s">
        <v>4333</v>
      </c>
      <c r="AG134" s="194">
        <v>6138.42</v>
      </c>
      <c r="AH134" s="194">
        <f>AG134+30000</f>
        <v>36138.42</v>
      </c>
      <c r="AI134" s="103" t="s">
        <v>4336</v>
      </c>
      <c r="AJ134" s="104" t="s">
        <v>4438</v>
      </c>
      <c r="AK134" s="103">
        <v>147990558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4974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46071</v>
      </c>
      <c r="AV134" s="195" t="s">
        <v>4338</v>
      </c>
      <c r="AW134" s="195" t="s">
        <v>4338</v>
      </c>
      <c r="AX134" s="105">
        <v>46101</v>
      </c>
      <c r="AY134" s="106">
        <v>46101</v>
      </c>
      <c r="AZ134" s="106" t="s">
        <v>4453</v>
      </c>
      <c r="BA134" s="107" t="s">
        <v>4454</v>
      </c>
      <c r="BB134" s="136" t="s">
        <v>4338</v>
      </c>
      <c r="BC134" s="220">
        <f>IF(AY134-KD134=0,"",AY134-O134)</f>
        <v>63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03" t="s">
        <v>4338</v>
      </c>
      <c r="BJ134" s="103" t="s">
        <v>4338</v>
      </c>
      <c r="BK134" s="105">
        <v>46182</v>
      </c>
      <c r="BL134" s="103" t="s">
        <v>4338</v>
      </c>
      <c r="BM134" s="258" t="s">
        <v>4453</v>
      </c>
    </row>
    <row r="135" spans="1:107" s="232" customFormat="1" ht="29.25" customHeight="1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4975</v>
      </c>
      <c r="G135" s="103" t="s">
        <v>4330</v>
      </c>
      <c r="H135" s="103" t="s">
        <v>4331</v>
      </c>
      <c r="I135" s="142" t="s">
        <v>4343</v>
      </c>
      <c r="J135" s="114" t="s">
        <v>4976</v>
      </c>
      <c r="K135" s="149"/>
      <c r="L135" s="149" t="s">
        <v>4977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4976</v>
      </c>
      <c r="AC135" s="149"/>
      <c r="AD135" s="149" t="s">
        <v>4977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4978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customHeight="1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4975</v>
      </c>
      <c r="G136" s="103" t="s">
        <v>4330</v>
      </c>
      <c r="H136" s="103" t="s">
        <v>4331</v>
      </c>
      <c r="I136" s="142" t="s">
        <v>4343</v>
      </c>
      <c r="J136" s="114" t="s">
        <v>4979</v>
      </c>
      <c r="K136" s="149" t="s">
        <v>4980</v>
      </c>
      <c r="L136" s="149" t="s">
        <v>4981</v>
      </c>
      <c r="M136" s="103" t="s">
        <v>4333</v>
      </c>
      <c r="N136" s="103" t="s">
        <v>4459</v>
      </c>
      <c r="O136" s="105">
        <v>46064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14" t="s">
        <v>4979</v>
      </c>
      <c r="AC136" s="149" t="s">
        <v>4980</v>
      </c>
      <c r="AD136" s="149" t="s">
        <v>4981</v>
      </c>
      <c r="AE136" s="103" t="s">
        <v>4343</v>
      </c>
      <c r="AF136" s="103" t="s">
        <v>4333</v>
      </c>
      <c r="AG136" s="194">
        <v>41613.47</v>
      </c>
      <c r="AH136" s="194">
        <v>60000</v>
      </c>
      <c r="AI136" s="103" t="s">
        <v>4336</v>
      </c>
      <c r="AJ136" s="104" t="s">
        <v>4438</v>
      </c>
      <c r="AK136" s="103">
        <v>150009526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4982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46111</v>
      </c>
      <c r="AV136" s="103" t="s">
        <v>4338</v>
      </c>
      <c r="AW136" s="103" t="s">
        <v>4338</v>
      </c>
      <c r="AX136" s="105">
        <v>46114</v>
      </c>
      <c r="AY136" s="106">
        <v>46114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5">IF(AY136-KD136=0,"",AY136-O136)</f>
        <v>50</v>
      </c>
      <c r="BD136" s="103" t="str">
        <f t="shared" ref="BD136:BD151" si="16">IF(AND(AI136&lt;&gt;"SIM",AI136="UH"),"AA","INDENIZAÇÃO")</f>
        <v>INDENIZAÇÃO</v>
      </c>
      <c r="BE136" s="103" t="str">
        <f t="shared" ref="BE136:BE151" si="17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03" t="s">
        <v>4338</v>
      </c>
      <c r="BJ136" s="103" t="s">
        <v>4338</v>
      </c>
      <c r="BK136" s="105">
        <v>46182</v>
      </c>
      <c r="BL136" s="103" t="s">
        <v>4338</v>
      </c>
      <c r="BM136" s="258" t="s">
        <v>4453</v>
      </c>
    </row>
    <row r="137" spans="1:107" s="232" customFormat="1" ht="29.25" customHeight="1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4983</v>
      </c>
      <c r="G137" s="103" t="s">
        <v>4330</v>
      </c>
      <c r="H137" s="103" t="s">
        <v>4331</v>
      </c>
      <c r="I137" s="142" t="s">
        <v>4440</v>
      </c>
      <c r="J137" s="114" t="s">
        <v>4984</v>
      </c>
      <c r="K137" s="149" t="s">
        <v>4985</v>
      </c>
      <c r="L137" s="149" t="s">
        <v>4986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4987</v>
      </c>
      <c r="AC137" s="114" t="s">
        <v>4988</v>
      </c>
      <c r="AD137" s="114" t="s">
        <v>4989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4990</v>
      </c>
      <c r="G138" s="103" t="s">
        <v>4330</v>
      </c>
      <c r="H138" s="103" t="s">
        <v>4331</v>
      </c>
      <c r="I138" s="142" t="s">
        <v>4343</v>
      </c>
      <c r="J138" s="114" t="s">
        <v>4991</v>
      </c>
      <c r="K138" s="149" t="s">
        <v>4992</v>
      </c>
      <c r="L138" s="149" t="s">
        <v>4993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4991</v>
      </c>
      <c r="AC138" s="139" t="s">
        <v>4992</v>
      </c>
      <c r="AD138" s="139" t="s">
        <v>4993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4994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15"/>
        <v>102</v>
      </c>
      <c r="BD138" s="103" t="str">
        <f t="shared" si="16"/>
        <v>INDENIZAÇÃO</v>
      </c>
      <c r="BE138" s="103" t="str">
        <f t="shared" si="17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4995</v>
      </c>
      <c r="G139" s="103" t="s">
        <v>4330</v>
      </c>
      <c r="H139" s="103" t="s">
        <v>4331</v>
      </c>
      <c r="I139" s="142" t="s">
        <v>4343</v>
      </c>
      <c r="J139" s="114" t="s">
        <v>4996</v>
      </c>
      <c r="K139" s="149" t="s">
        <v>4997</v>
      </c>
      <c r="L139" s="149" t="s">
        <v>4998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4996</v>
      </c>
      <c r="AC139" s="139" t="s">
        <v>4997</v>
      </c>
      <c r="AD139" s="139" t="s">
        <v>4998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4999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 t="shared" si="15"/>
        <v>63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4995</v>
      </c>
      <c r="G140" s="103" t="s">
        <v>4330</v>
      </c>
      <c r="H140" s="103" t="s">
        <v>4331</v>
      </c>
      <c r="I140" s="103" t="s">
        <v>4343</v>
      </c>
      <c r="J140" s="149" t="s">
        <v>5000</v>
      </c>
      <c r="K140" s="149" t="s">
        <v>5001</v>
      </c>
      <c r="L140" s="149" t="s">
        <v>5002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5000</v>
      </c>
      <c r="AC140" s="149" t="s">
        <v>5001</v>
      </c>
      <c r="AD140" s="149" t="s">
        <v>5002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5003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 t="shared" si="15"/>
        <v>40</v>
      </c>
      <c r="BD140" s="103" t="str">
        <f t="shared" si="16"/>
        <v>INDENIZAÇÃO</v>
      </c>
      <c r="BE140" s="103" t="str">
        <f t="shared" si="17"/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5004</v>
      </c>
      <c r="G141" s="103" t="s">
        <v>4330</v>
      </c>
      <c r="H141" s="103" t="s">
        <v>4331</v>
      </c>
      <c r="I141" s="103" t="s">
        <v>4343</v>
      </c>
      <c r="J141" s="149" t="s">
        <v>5005</v>
      </c>
      <c r="K141" s="149" t="s">
        <v>5006</v>
      </c>
      <c r="L141" s="149" t="s">
        <v>5007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5005</v>
      </c>
      <c r="AC141" s="149" t="s">
        <v>5006</v>
      </c>
      <c r="AD141" s="149" t="s">
        <v>5007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5004</v>
      </c>
      <c r="G142" s="103" t="s">
        <v>4330</v>
      </c>
      <c r="H142" s="103" t="s">
        <v>4331</v>
      </c>
      <c r="I142" s="142" t="s">
        <v>4343</v>
      </c>
      <c r="J142" s="114" t="s">
        <v>5008</v>
      </c>
      <c r="K142" s="149" t="s">
        <v>5009</v>
      </c>
      <c r="L142" s="149" t="s">
        <v>5010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5008</v>
      </c>
      <c r="AC142" s="139" t="s">
        <v>5009</v>
      </c>
      <c r="AD142" s="139" t="s">
        <v>5010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5011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 t="shared" si="15"/>
        <v>76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5012</v>
      </c>
      <c r="G143" s="103" t="s">
        <v>4330</v>
      </c>
      <c r="H143" s="103" t="s">
        <v>4331</v>
      </c>
      <c r="I143" s="103" t="s">
        <v>4343</v>
      </c>
      <c r="J143" s="149" t="s">
        <v>5013</v>
      </c>
      <c r="K143" s="149" t="s">
        <v>5014</v>
      </c>
      <c r="L143" s="149" t="s">
        <v>5015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5013</v>
      </c>
      <c r="AC143" s="149" t="s">
        <v>5014</v>
      </c>
      <c r="AD143" s="149" t="s">
        <v>5015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7" t="s">
        <v>5016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12" t="s">
        <v>4338</v>
      </c>
      <c r="AW143" s="109" t="s">
        <v>4453</v>
      </c>
      <c r="AX143" s="109"/>
      <c r="AY143" s="157"/>
      <c r="AZ143" s="157"/>
      <c r="BA143" s="109" t="s">
        <v>4330</v>
      </c>
      <c r="BB143" s="112"/>
      <c r="BC143" s="220" t="str">
        <f t="shared" si="15"/>
        <v/>
      </c>
      <c r="BD143" s="103" t="str">
        <f t="shared" si="16"/>
        <v>INDENIZAÇÃO</v>
      </c>
      <c r="BE143" s="103" t="str">
        <f t="shared" si="17"/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customHeight="1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5012</v>
      </c>
      <c r="G144" s="103" t="s">
        <v>4330</v>
      </c>
      <c r="H144" s="103" t="s">
        <v>4331</v>
      </c>
      <c r="I144" s="142" t="s">
        <v>4343</v>
      </c>
      <c r="J144" s="114" t="s">
        <v>5017</v>
      </c>
      <c r="K144" s="149" t="s">
        <v>5018</v>
      </c>
      <c r="L144" s="149" t="s">
        <v>5019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5017</v>
      </c>
      <c r="AC144" s="139" t="s">
        <v>5018</v>
      </c>
      <c r="AD144" s="139" t="s">
        <v>5019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5020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5037</v>
      </c>
      <c r="G148" s="103" t="s">
        <v>4330</v>
      </c>
      <c r="H148" s="103" t="s">
        <v>4331</v>
      </c>
      <c r="I148" s="103" t="s">
        <v>4440</v>
      </c>
      <c r="J148" s="149" t="s">
        <v>5038</v>
      </c>
      <c r="K148" s="149" t="s">
        <v>5039</v>
      </c>
      <c r="L148" s="149" t="s">
        <v>5040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5041</v>
      </c>
      <c r="AC148" s="149" t="s">
        <v>5042</v>
      </c>
      <c r="AD148" s="149" t="s">
        <v>5043</v>
      </c>
      <c r="AE148" s="142" t="s">
        <v>4332</v>
      </c>
      <c r="AF148" s="142" t="s">
        <v>5044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5045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 t="shared" si="15"/>
        <v>36</v>
      </c>
      <c r="BD148" s="103" t="str">
        <f t="shared" si="16"/>
        <v>INDENIZAÇÃO</v>
      </c>
      <c r="BE148" s="103" t="str">
        <f t="shared" si="17"/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5037</v>
      </c>
      <c r="G149" s="103" t="s">
        <v>4330</v>
      </c>
      <c r="H149" s="103" t="s">
        <v>4331</v>
      </c>
      <c r="I149" s="142" t="s">
        <v>4343</v>
      </c>
      <c r="J149" s="114" t="s">
        <v>5046</v>
      </c>
      <c r="K149" s="149" t="s">
        <v>5047</v>
      </c>
      <c r="L149" s="149" t="s">
        <v>5048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5046</v>
      </c>
      <c r="AC149" s="149" t="s">
        <v>5047</v>
      </c>
      <c r="AD149" s="149" t="s">
        <v>5048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 t="shared" si="15"/>
        <v>150</v>
      </c>
      <c r="BD149" s="103" t="str">
        <f t="shared" si="16"/>
        <v>INDENIZAÇÃO</v>
      </c>
      <c r="BE149" s="103" t="str">
        <f t="shared" si="17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6" t="s">
        <v>4461</v>
      </c>
      <c r="BM149" s="239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4343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4459</v>
      </c>
      <c r="O151" s="105">
        <v>46080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14" t="s">
        <v>5055</v>
      </c>
      <c r="AC151" s="149" t="s">
        <v>5056</v>
      </c>
      <c r="AD151" s="149" t="s">
        <v>5057</v>
      </c>
      <c r="AE151" s="103" t="s">
        <v>4343</v>
      </c>
      <c r="AF151" s="103" t="s">
        <v>4333</v>
      </c>
      <c r="AG151" s="194">
        <v>72417.86</v>
      </c>
      <c r="AH151" s="194">
        <v>72417.86</v>
      </c>
      <c r="AI151" s="103" t="s">
        <v>4336</v>
      </c>
      <c r="AJ151" s="104" t="s">
        <v>4438</v>
      </c>
      <c r="AK151" s="103">
        <v>150959269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5058</v>
      </c>
      <c r="AQ151" s="103" t="s">
        <v>4338</v>
      </c>
      <c r="AR151" s="103" t="s">
        <v>4338</v>
      </c>
      <c r="AS151" s="143" t="s">
        <v>4338</v>
      </c>
      <c r="AT151" s="103" t="s">
        <v>4338</v>
      </c>
      <c r="AU151" s="105">
        <v>46127</v>
      </c>
      <c r="AV151" s="103" t="s">
        <v>4338</v>
      </c>
      <c r="AW151" s="103" t="s">
        <v>4338</v>
      </c>
      <c r="AX151" s="105">
        <v>46140</v>
      </c>
      <c r="AY151" s="106">
        <v>46140</v>
      </c>
      <c r="AZ151" s="106" t="s">
        <v>4453</v>
      </c>
      <c r="BA151" s="107" t="s">
        <v>4454</v>
      </c>
      <c r="BB151" s="136" t="s">
        <v>4338</v>
      </c>
      <c r="BC151" s="220">
        <f t="shared" si="15"/>
        <v>60</v>
      </c>
      <c r="BD151" s="103" t="str">
        <f t="shared" si="16"/>
        <v>INDENIZAÇÃO</v>
      </c>
      <c r="BE151" s="103" t="str">
        <f t="shared" si="17"/>
        <v>NÃO</v>
      </c>
      <c r="BF151" s="112" t="s">
        <v>4357</v>
      </c>
      <c r="BG151" s="112" t="s">
        <v>4357</v>
      </c>
      <c r="BH151" s="112" t="s">
        <v>4357</v>
      </c>
      <c r="BI151" s="112" t="s">
        <v>4338</v>
      </c>
      <c r="BJ151" s="112" t="s">
        <v>4338</v>
      </c>
      <c r="BK151" s="105">
        <v>46195</v>
      </c>
      <c r="BL151" s="112" t="s">
        <v>4338</v>
      </c>
      <c r="BM151" s="262" t="s">
        <v>4453</v>
      </c>
    </row>
    <row r="152" spans="1:68" s="232" customFormat="1" ht="29.25" customHeight="1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5054</v>
      </c>
      <c r="G153" s="103" t="s">
        <v>4330</v>
      </c>
      <c r="H153" s="103" t="s">
        <v>4331</v>
      </c>
      <c r="I153" s="142" t="s">
        <v>4343</v>
      </c>
      <c r="J153" s="149" t="s">
        <v>5062</v>
      </c>
      <c r="K153" s="149" t="s">
        <v>4432</v>
      </c>
      <c r="L153" s="149" t="s">
        <v>5063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5062</v>
      </c>
      <c r="AC153" s="149" t="s">
        <v>4432</v>
      </c>
      <c r="AD153" s="149" t="s">
        <v>5063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5064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/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/>
      <c r="AM154" s="103"/>
      <c r="AN154" s="103"/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03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 t="shared" ref="BC155:BC164" si="18">IF(AY155-KD155=0,"",AY155-O155)</f>
        <v>45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customHeight="1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5074</v>
      </c>
      <c r="G156" s="103" t="s">
        <v>4330</v>
      </c>
      <c r="H156" s="103" t="s">
        <v>4331</v>
      </c>
      <c r="I156" s="103" t="s">
        <v>4343</v>
      </c>
      <c r="J156" s="149" t="s">
        <v>5075</v>
      </c>
      <c r="K156" s="149" t="s">
        <v>5076</v>
      </c>
      <c r="L156" s="149" t="s">
        <v>5077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5075</v>
      </c>
      <c r="AC156" s="149" t="s">
        <v>5076</v>
      </c>
      <c r="AD156" s="149" t="s">
        <v>5077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9" t="s">
        <v>5078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 t="shared" si="18"/>
        <v>77</v>
      </c>
      <c r="BD156" s="103" t="str">
        <f t="shared" si="19"/>
        <v>INDENIZAÇÃO</v>
      </c>
      <c r="BE156" s="103" t="str">
        <f t="shared" si="20"/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6" t="s">
        <v>4461</v>
      </c>
      <c r="BM156" s="239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5079</v>
      </c>
      <c r="G157" s="103" t="s">
        <v>4330</v>
      </c>
      <c r="H157" s="103" t="s">
        <v>4331</v>
      </c>
      <c r="I157" s="142" t="s">
        <v>4343</v>
      </c>
      <c r="J157" s="114" t="s">
        <v>5080</v>
      </c>
      <c r="K157" s="149" t="s">
        <v>5081</v>
      </c>
      <c r="L157" s="149" t="s">
        <v>5082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5080</v>
      </c>
      <c r="AC157" s="139" t="s">
        <v>5081</v>
      </c>
      <c r="AD157" s="139" t="s">
        <v>5082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5083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98" t="s">
        <v>4338</v>
      </c>
      <c r="AW157" s="98" t="s">
        <v>4338</v>
      </c>
      <c r="AX157" s="280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 t="shared" si="18"/>
        <v>55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customHeight="1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5079</v>
      </c>
      <c r="G158" s="103" t="s">
        <v>4330</v>
      </c>
      <c r="H158" s="103" t="s">
        <v>4342</v>
      </c>
      <c r="I158" s="153" t="s">
        <v>4332</v>
      </c>
      <c r="J158" s="149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5084</v>
      </c>
      <c r="AC158" s="149" t="s">
        <v>5085</v>
      </c>
      <c r="AD158" s="149" t="s">
        <v>5086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customHeight="1">
      <c r="A159" s="165">
        <v>150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5088</v>
      </c>
      <c r="G159" s="103" t="s">
        <v>4330</v>
      </c>
      <c r="H159" s="103" t="s">
        <v>4352</v>
      </c>
      <c r="I159" s="98" t="s">
        <v>4343</v>
      </c>
      <c r="J159" s="149" t="s">
        <v>5089</v>
      </c>
      <c r="K159" s="149" t="s">
        <v>4909</v>
      </c>
      <c r="L159" s="149" t="s">
        <v>5090</v>
      </c>
      <c r="M159" s="103" t="s">
        <v>4333</v>
      </c>
      <c r="N159" s="103" t="s">
        <v>4334</v>
      </c>
      <c r="O159" s="105">
        <v>46142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5089</v>
      </c>
      <c r="AC159" s="149" t="s">
        <v>4909</v>
      </c>
      <c r="AD159" s="149" t="s">
        <v>5090</v>
      </c>
      <c r="AE159" s="103" t="s">
        <v>4343</v>
      </c>
      <c r="AF159" s="103" t="s">
        <v>4333</v>
      </c>
      <c r="AG159" s="194">
        <v>42375.040000000001</v>
      </c>
      <c r="AH159" s="194">
        <v>60000</v>
      </c>
      <c r="AI159" s="103" t="s">
        <v>4336</v>
      </c>
      <c r="AJ159" s="104" t="s">
        <v>4438</v>
      </c>
      <c r="AK159" s="103">
        <v>153977497</v>
      </c>
      <c r="AL159" s="103" t="s">
        <v>4338</v>
      </c>
      <c r="AM159" s="103" t="s">
        <v>4338</v>
      </c>
      <c r="AN159" s="103" t="s">
        <v>5091</v>
      </c>
      <c r="AO159" s="112"/>
      <c r="AP159" s="171" t="s">
        <v>5092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46189</v>
      </c>
      <c r="AV159" s="103" t="s">
        <v>4338</v>
      </c>
      <c r="AW159" s="103" t="s">
        <v>4338</v>
      </c>
      <c r="AX159" s="105">
        <v>46195</v>
      </c>
      <c r="AY159" s="106">
        <v>46195</v>
      </c>
      <c r="AZ159" s="106" t="s">
        <v>4453</v>
      </c>
      <c r="BA159" s="107" t="s">
        <v>4330</v>
      </c>
      <c r="BB159" s="112" t="s">
        <v>4338</v>
      </c>
      <c r="BC159" s="220">
        <f t="shared" si="18"/>
        <v>53</v>
      </c>
      <c r="BD159" s="103" t="str">
        <f t="shared" si="19"/>
        <v>INDENIZAÇÃO</v>
      </c>
      <c r="BE159" s="103" t="str">
        <f t="shared" si="20"/>
        <v>NÃO</v>
      </c>
      <c r="BF159" s="112" t="s">
        <v>4357</v>
      </c>
      <c r="BG159" s="112" t="s">
        <v>4357</v>
      </c>
      <c r="BH159" s="112" t="s">
        <v>4357</v>
      </c>
      <c r="BI159" s="103" t="s">
        <v>4338</v>
      </c>
      <c r="BJ159" s="103" t="s">
        <v>4338</v>
      </c>
      <c r="BK159" s="105">
        <v>46224</v>
      </c>
      <c r="BL159" s="276" t="s">
        <v>4461</v>
      </c>
      <c r="BM159" s="239"/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5088</v>
      </c>
      <c r="G160" s="103" t="s">
        <v>4330</v>
      </c>
      <c r="H160" s="103" t="s">
        <v>4331</v>
      </c>
      <c r="I160" s="142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8"/>
        <v>76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5097</v>
      </c>
      <c r="G162" s="103" t="s">
        <v>4330</v>
      </c>
      <c r="H162" s="103" t="s">
        <v>4331</v>
      </c>
      <c r="I162" s="142" t="s">
        <v>4343</v>
      </c>
      <c r="J162" s="114" t="s">
        <v>5101</v>
      </c>
      <c r="K162" s="149" t="s">
        <v>5102</v>
      </c>
      <c r="L162" s="149" t="s">
        <v>5103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5101</v>
      </c>
      <c r="AC162" s="149" t="s">
        <v>5102</v>
      </c>
      <c r="AD162" s="149" t="s">
        <v>5103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5104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 t="shared" si="18"/>
        <v>144</v>
      </c>
      <c r="BD162" s="103" t="str">
        <f t="shared" si="19"/>
        <v>INDENIZAÇÃO</v>
      </c>
      <c r="BE162" s="103" t="str">
        <f t="shared" si="20"/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6" t="s">
        <v>4461</v>
      </c>
      <c r="BM162" s="237"/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4342</v>
      </c>
      <c r="I164" s="153" t="s">
        <v>4332</v>
      </c>
      <c r="J164" s="114" t="s">
        <v>5110</v>
      </c>
      <c r="K164" s="149" t="s">
        <v>5111</v>
      </c>
      <c r="L164" s="149" t="s">
        <v>5112</v>
      </c>
      <c r="M164" s="103" t="s">
        <v>4333</v>
      </c>
      <c r="N164" s="103" t="s">
        <v>4459</v>
      </c>
      <c r="O164" s="105">
        <v>46038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5"/>
      <c r="AB164" s="114" t="s">
        <v>5110</v>
      </c>
      <c r="AC164" s="104" t="s">
        <v>5111</v>
      </c>
      <c r="AD164" s="139" t="s">
        <v>5112</v>
      </c>
      <c r="AE164" s="153" t="s">
        <v>4332</v>
      </c>
      <c r="AF164" s="103" t="s">
        <v>4333</v>
      </c>
      <c r="AG164" s="194">
        <v>10959.7</v>
      </c>
      <c r="AH164" s="194">
        <f>AG164+30000</f>
        <v>40959.699999999997</v>
      </c>
      <c r="AI164" s="103" t="s">
        <v>4336</v>
      </c>
      <c r="AJ164" s="104" t="s">
        <v>4438</v>
      </c>
      <c r="AK164" s="103">
        <v>147993852</v>
      </c>
      <c r="AL164" s="103" t="s">
        <v>4338</v>
      </c>
      <c r="AM164" s="103" t="s">
        <v>4338</v>
      </c>
      <c r="AN164" s="103" t="s">
        <v>4339</v>
      </c>
      <c r="AO164" s="170"/>
      <c r="AP164" s="171" t="s">
        <v>5113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46098</v>
      </c>
      <c r="AV164" s="103" t="s">
        <v>4338</v>
      </c>
      <c r="AW164" s="103" t="s">
        <v>4338</v>
      </c>
      <c r="AX164" s="105">
        <v>46114</v>
      </c>
      <c r="AY164" s="106">
        <v>46114</v>
      </c>
      <c r="AZ164" s="106" t="s">
        <v>4453</v>
      </c>
      <c r="BA164" s="107" t="s">
        <v>4454</v>
      </c>
      <c r="BB164" s="136" t="s">
        <v>4338</v>
      </c>
      <c r="BC164" s="220">
        <f t="shared" si="18"/>
        <v>76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03" t="s">
        <v>4338</v>
      </c>
      <c r="BJ164" s="103" t="s">
        <v>4338</v>
      </c>
      <c r="BK164" s="105">
        <v>46182</v>
      </c>
      <c r="BL164" s="103" t="s">
        <v>4338</v>
      </c>
      <c r="BM164" s="258" t="s">
        <v>4453</v>
      </c>
    </row>
    <row r="165" spans="1:68" s="232" customFormat="1" ht="29.25" customHeight="1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1">IF(AY166-KD166=0,"",AY166-O166)</f>
        <v/>
      </c>
      <c r="BD166" s="103" t="str">
        <f t="shared" ref="BD166:BD185" si="22">IF(AND(AI166&lt;&gt;"SIM",AI166="UH"),"AA","INDENIZAÇÃO")</f>
        <v>AA</v>
      </c>
      <c r="BE166" s="103" t="str">
        <f t="shared" ref="BE166:BE185" si="23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1"/>
        <v/>
      </c>
      <c r="BD167" s="103" t="str">
        <f t="shared" si="22"/>
        <v>AA</v>
      </c>
      <c r="BE167" s="103" t="str">
        <f t="shared" si="23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1"/>
        <v/>
      </c>
      <c r="BD168" s="103" t="str">
        <f t="shared" si="22"/>
        <v>INDENIZAÇÃO</v>
      </c>
      <c r="BE168" s="103" t="str">
        <f t="shared" si="23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1"/>
        <v/>
      </c>
      <c r="BD169" s="103" t="str">
        <f t="shared" si="22"/>
        <v>INDENIZAÇÃO</v>
      </c>
      <c r="BE169" s="103" t="str">
        <f t="shared" si="23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5137</v>
      </c>
      <c r="G170" s="103" t="s">
        <v>4330</v>
      </c>
      <c r="H170" s="103" t="s">
        <v>4352</v>
      </c>
      <c r="I170" s="103" t="s">
        <v>4343</v>
      </c>
      <c r="J170" s="149" t="s">
        <v>5138</v>
      </c>
      <c r="K170" s="149" t="s">
        <v>5139</v>
      </c>
      <c r="L170" s="149" t="s">
        <v>5140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5138</v>
      </c>
      <c r="AC170" s="149" t="s">
        <v>5139</v>
      </c>
      <c r="AD170" s="149" t="s">
        <v>5140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5141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283" t="s">
        <v>4454</v>
      </c>
      <c r="BB170" s="284" t="s">
        <v>4338</v>
      </c>
      <c r="BC170" s="220">
        <f t="shared" si="21"/>
        <v>30</v>
      </c>
      <c r="BD170" s="103" t="str">
        <f t="shared" si="22"/>
        <v>INDENIZAÇÃO</v>
      </c>
      <c r="BE170" s="103" t="str">
        <f t="shared" si="23"/>
        <v>NÃO</v>
      </c>
      <c r="BF170" s="99" t="s">
        <v>4357</v>
      </c>
      <c r="BG170" s="112" t="s">
        <v>4357</v>
      </c>
      <c r="BH170" s="112" t="s">
        <v>4357</v>
      </c>
      <c r="BI170" s="99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customHeight="1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1"/>
        <v/>
      </c>
      <c r="BD171" s="103" t="str">
        <f t="shared" si="22"/>
        <v>INDENIZAÇÃO</v>
      </c>
      <c r="BE171" s="103" t="str">
        <f t="shared" si="23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5142</v>
      </c>
      <c r="G172" s="103" t="s">
        <v>4330</v>
      </c>
      <c r="H172" s="103" t="s">
        <v>4331</v>
      </c>
      <c r="I172" s="142" t="s">
        <v>4343</v>
      </c>
      <c r="J172" s="114" t="s">
        <v>5147</v>
      </c>
      <c r="K172" s="104" t="s">
        <v>5148</v>
      </c>
      <c r="L172" s="114" t="s">
        <v>5149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5147</v>
      </c>
      <c r="AC172" s="104" t="s">
        <v>5148</v>
      </c>
      <c r="AD172" s="114" t="s">
        <v>5149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5150</v>
      </c>
      <c r="AQ172" s="103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57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21"/>
        <v>56</v>
      </c>
      <c r="BD172" s="103" t="str">
        <f t="shared" si="22"/>
        <v>INDENIZAÇÃO</v>
      </c>
      <c r="BE172" s="103" t="str">
        <f t="shared" si="23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</row>
    <row r="173" spans="1:68" s="232" customFormat="1" ht="29.25" customHeight="1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5151</v>
      </c>
      <c r="G173" s="103" t="s">
        <v>4330</v>
      </c>
      <c r="H173" s="103" t="s">
        <v>4331</v>
      </c>
      <c r="I173" s="142" t="s">
        <v>4343</v>
      </c>
      <c r="J173" s="149" t="s">
        <v>5152</v>
      </c>
      <c r="K173" s="149" t="s">
        <v>5153</v>
      </c>
      <c r="L173" s="149" t="s">
        <v>5154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5152</v>
      </c>
      <c r="AC173" s="104" t="s">
        <v>5153</v>
      </c>
      <c r="AD173" s="104" t="s">
        <v>5154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5155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 t="shared" si="21"/>
        <v>40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customHeight="1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5156</v>
      </c>
      <c r="G174" s="103" t="s">
        <v>4330</v>
      </c>
      <c r="H174" s="103" t="s">
        <v>4331</v>
      </c>
      <c r="I174" s="103" t="s">
        <v>4343</v>
      </c>
      <c r="J174" s="149" t="s">
        <v>5157</v>
      </c>
      <c r="K174" s="149" t="s">
        <v>5158</v>
      </c>
      <c r="L174" s="149" t="s">
        <v>5159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5157</v>
      </c>
      <c r="AC174" s="149" t="s">
        <v>5158</v>
      </c>
      <c r="AD174" s="149" t="s">
        <v>5159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5160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1"/>
        <v/>
      </c>
      <c r="BD174" s="103" t="str">
        <f t="shared" si="22"/>
        <v>INDENIZAÇÃO</v>
      </c>
      <c r="BE174" s="103" t="str">
        <f t="shared" si="23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>
      <c r="A175" s="103">
        <v>166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5156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17059.61</v>
      </c>
      <c r="AH175" s="194">
        <v>47059.61</v>
      </c>
      <c r="AI175" s="103" t="s">
        <v>4336</v>
      </c>
      <c r="AJ175" s="104" t="s">
        <v>4438</v>
      </c>
      <c r="AK175" s="103">
        <v>150861319</v>
      </c>
      <c r="AL175" s="142" t="s">
        <v>4338</v>
      </c>
      <c r="AM175" s="103" t="s">
        <v>4338</v>
      </c>
      <c r="AN175" s="103" t="s">
        <v>4339</v>
      </c>
      <c r="AO175" s="103"/>
      <c r="AP175" s="277" t="s">
        <v>5164</v>
      </c>
      <c r="AQ175" s="143" t="s">
        <v>4338</v>
      </c>
      <c r="AR175" s="103" t="s">
        <v>4338</v>
      </c>
      <c r="AS175" s="112" t="s">
        <v>4338</v>
      </c>
      <c r="AT175" s="112" t="s">
        <v>4338</v>
      </c>
      <c r="AU175" s="105">
        <v>46226</v>
      </c>
      <c r="AV175" s="112" t="s">
        <v>4338</v>
      </c>
      <c r="AW175" s="109" t="s">
        <v>4453</v>
      </c>
      <c r="AX175" s="109"/>
      <c r="AY175" s="157"/>
      <c r="AZ175" s="157"/>
      <c r="BA175" s="109" t="s">
        <v>4330</v>
      </c>
      <c r="BB175" s="136"/>
      <c r="BC175" s="220" t="str">
        <f t="shared" si="21"/>
        <v/>
      </c>
      <c r="BD175" s="103" t="str">
        <f t="shared" si="22"/>
        <v>INDENIZAÇÃO</v>
      </c>
      <c r="BE175" s="103" t="str">
        <f t="shared" si="23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14" t="s">
        <v>5166</v>
      </c>
      <c r="K176" s="149" t="s">
        <v>5167</v>
      </c>
      <c r="L176" s="149" t="s">
        <v>5168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5166</v>
      </c>
      <c r="AC176" s="104" t="s">
        <v>5167</v>
      </c>
      <c r="AD176" s="139" t="s">
        <v>5168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5169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 t="shared" si="21"/>
        <v>28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customHeight="1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5170</v>
      </c>
      <c r="G177" s="103" t="s">
        <v>4330</v>
      </c>
      <c r="H177" s="103" t="s">
        <v>4331</v>
      </c>
      <c r="I177" s="103" t="s">
        <v>4343</v>
      </c>
      <c r="J177" s="149" t="s">
        <v>5171</v>
      </c>
      <c r="K177" s="149" t="s">
        <v>5172</v>
      </c>
      <c r="L177" s="149" t="s">
        <v>5173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5171</v>
      </c>
      <c r="AC177" s="149" t="s">
        <v>5172</v>
      </c>
      <c r="AD177" s="149" t="s">
        <v>5173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5174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 t="shared" si="21"/>
        <v>45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customHeight="1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5175</v>
      </c>
      <c r="G178" s="103" t="s">
        <v>4497</v>
      </c>
      <c r="H178" s="103" t="s">
        <v>4331</v>
      </c>
      <c r="I178" s="103" t="s">
        <v>4343</v>
      </c>
      <c r="J178" s="149" t="s">
        <v>5176</v>
      </c>
      <c r="K178" s="149" t="s">
        <v>5177</v>
      </c>
      <c r="L178" s="149" t="s">
        <v>5178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5176</v>
      </c>
      <c r="AC178" s="149" t="s">
        <v>5177</v>
      </c>
      <c r="AD178" s="149" t="s">
        <v>5178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5179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 t="shared" si="21"/>
        <v>59</v>
      </c>
      <c r="BD178" s="103" t="str">
        <f t="shared" si="22"/>
        <v>INDENIZAÇÃO</v>
      </c>
      <c r="BE178" s="103" t="str">
        <f t="shared" si="23"/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5180</v>
      </c>
      <c r="G179" s="103" t="s">
        <v>4330</v>
      </c>
      <c r="H179" s="103" t="s">
        <v>4331</v>
      </c>
      <c r="I179" s="103" t="s">
        <v>4343</v>
      </c>
      <c r="J179" s="149" t="s">
        <v>5181</v>
      </c>
      <c r="K179" s="149" t="s">
        <v>5182</v>
      </c>
      <c r="L179" s="149" t="s">
        <v>5183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5181</v>
      </c>
      <c r="AC179" s="149" t="s">
        <v>5182</v>
      </c>
      <c r="AD179" s="149" t="s">
        <v>5183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5184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98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 t="shared" si="21"/>
        <v>48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4351</v>
      </c>
      <c r="H182" s="103" t="s">
        <v>4351</v>
      </c>
      <c r="I182" s="153" t="s">
        <v>4332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5191</v>
      </c>
      <c r="AC182" s="149" t="s">
        <v>5192</v>
      </c>
      <c r="AD182" s="149" t="s">
        <v>5194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9" t="s">
        <v>5195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 t="shared" si="21"/>
        <v>70</v>
      </c>
      <c r="BD182" s="103" t="str">
        <f t="shared" si="22"/>
        <v>INDENIZAÇÃO</v>
      </c>
      <c r="BE182" s="103" t="str">
        <f t="shared" si="23"/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6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5196</v>
      </c>
      <c r="G183" s="103" t="s">
        <v>4330</v>
      </c>
      <c r="H183" s="103" t="s">
        <v>4331</v>
      </c>
      <c r="I183" s="98" t="s">
        <v>4343</v>
      </c>
      <c r="J183" s="149" t="s">
        <v>5197</v>
      </c>
      <c r="K183" s="149" t="s">
        <v>5198</v>
      </c>
      <c r="L183" s="149" t="s">
        <v>5199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5197</v>
      </c>
      <c r="AC183" s="149" t="s">
        <v>5198</v>
      </c>
      <c r="AD183" s="149" t="s">
        <v>5199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5200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 t="shared" si="21"/>
        <v>48</v>
      </c>
      <c r="BD183" s="103" t="str">
        <f t="shared" si="22"/>
        <v>INDENIZAÇÃO</v>
      </c>
      <c r="BE183" s="103" t="str">
        <f t="shared" si="23"/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5201</v>
      </c>
      <c r="G184" s="103" t="s">
        <v>4330</v>
      </c>
      <c r="H184" s="103" t="s">
        <v>4331</v>
      </c>
      <c r="I184" s="103" t="s">
        <v>4343</v>
      </c>
      <c r="J184" s="149" t="s">
        <v>5202</v>
      </c>
      <c r="K184" s="149" t="s">
        <v>5203</v>
      </c>
      <c r="L184" s="149" t="s">
        <v>5204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5202</v>
      </c>
      <c r="AC184" s="149" t="s">
        <v>5203</v>
      </c>
      <c r="AD184" s="149" t="s">
        <v>5204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5205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21"/>
        <v>48</v>
      </c>
      <c r="BD184" s="103" t="str">
        <f t="shared" si="22"/>
        <v>INDENIZAÇÃO</v>
      </c>
      <c r="BE184" s="103" t="str">
        <f t="shared" si="23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customHeight="1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5206</v>
      </c>
      <c r="G185" s="103" t="s">
        <v>4330</v>
      </c>
      <c r="H185" s="103" t="s">
        <v>4331</v>
      </c>
      <c r="I185" s="103" t="s">
        <v>4343</v>
      </c>
      <c r="J185" s="149" t="s">
        <v>5207</v>
      </c>
      <c r="K185" s="149" t="s">
        <v>5208</v>
      </c>
      <c r="L185" s="149" t="s">
        <v>5209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5207</v>
      </c>
      <c r="AC185" s="149" t="s">
        <v>5208</v>
      </c>
      <c r="AD185" s="149" t="s">
        <v>5209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5210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21"/>
        <v>48</v>
      </c>
      <c r="BD185" s="103" t="str">
        <f t="shared" si="22"/>
        <v>INDENIZAÇÃO</v>
      </c>
      <c r="BE185" s="103" t="str">
        <f t="shared" si="23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82"/>
      <c r="AX187" s="109"/>
      <c r="AY187" s="157"/>
      <c r="AZ187" s="157"/>
      <c r="BA187" s="107" t="s">
        <v>4330</v>
      </c>
      <c r="BB187" s="112"/>
      <c r="BC187" s="220" t="str">
        <f t="shared" ref="BC187:BC218" si="24">IF(AY187-KD187=0,"",AY187-O187)</f>
        <v/>
      </c>
      <c r="BD187" s="103" t="str">
        <f t="shared" ref="BD187:BD218" si="25">IF(AND(AI187&lt;&gt;"SIM",AI187="UH"),"AA","INDENIZAÇÃO")</f>
        <v>INDENIZAÇÃO</v>
      </c>
      <c r="BE187" s="103" t="str">
        <f t="shared" ref="BE187:BE218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5232</v>
      </c>
      <c r="G191" s="103" t="s">
        <v>4330</v>
      </c>
      <c r="H191" s="103" t="s">
        <v>4331</v>
      </c>
      <c r="I191" s="142" t="s">
        <v>4343</v>
      </c>
      <c r="J191" s="149" t="s">
        <v>5233</v>
      </c>
      <c r="K191" s="149" t="s">
        <v>5234</v>
      </c>
      <c r="L191" s="149" t="s">
        <v>5235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5233</v>
      </c>
      <c r="AC191" s="104" t="s">
        <v>5234</v>
      </c>
      <c r="AD191" s="104" t="s">
        <v>5235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5236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 t="shared" si="24"/>
        <v>42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5232</v>
      </c>
      <c r="G192" s="103" t="s">
        <v>4330</v>
      </c>
      <c r="H192" s="103" t="s">
        <v>4331</v>
      </c>
      <c r="I192" s="142" t="s">
        <v>4343</v>
      </c>
      <c r="J192" s="149" t="s">
        <v>5237</v>
      </c>
      <c r="K192" s="149" t="s">
        <v>4432</v>
      </c>
      <c r="L192" s="149" t="s">
        <v>5238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5237</v>
      </c>
      <c r="AC192" s="104" t="s">
        <v>4432</v>
      </c>
      <c r="AD192" s="104" t="s">
        <v>5238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5239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 t="shared" si="24"/>
        <v>76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5240</v>
      </c>
      <c r="G193" s="103" t="s">
        <v>4330</v>
      </c>
      <c r="H193" s="103" t="s">
        <v>4331</v>
      </c>
      <c r="I193" s="142" t="s">
        <v>4440</v>
      </c>
      <c r="J193" s="114" t="s">
        <v>5241</v>
      </c>
      <c r="K193" s="149" t="s">
        <v>4432</v>
      </c>
      <c r="L193" s="149" t="s">
        <v>5242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5243</v>
      </c>
      <c r="AC193" s="104" t="s">
        <v>5244</v>
      </c>
      <c r="AD193" s="104" t="s">
        <v>5245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5246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 t="shared" si="24"/>
        <v>45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customHeight="1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5240</v>
      </c>
      <c r="G194" s="103" t="s">
        <v>4330</v>
      </c>
      <c r="H194" s="103" t="s">
        <v>4331</v>
      </c>
      <c r="I194" s="142" t="s">
        <v>4343</v>
      </c>
      <c r="J194" s="149" t="s">
        <v>5247</v>
      </c>
      <c r="K194" s="149" t="s">
        <v>5248</v>
      </c>
      <c r="L194" s="149" t="s">
        <v>5249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5247</v>
      </c>
      <c r="AC194" s="104" t="s">
        <v>5248</v>
      </c>
      <c r="AD194" s="104" t="s">
        <v>5249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5250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 t="shared" si="24"/>
        <v>63</v>
      </c>
      <c r="BD194" s="103" t="str">
        <f t="shared" si="25"/>
        <v>INDENIZAÇÃO</v>
      </c>
      <c r="BE194" s="103" t="str">
        <f t="shared" si="26"/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5251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 t="shared" si="24"/>
        <v>35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customHeight="1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4"/>
        <v/>
      </c>
      <c r="BD196" s="103" t="str">
        <f t="shared" si="25"/>
        <v>INDENIZAÇÃO</v>
      </c>
      <c r="BE196" s="103" t="str">
        <f t="shared" si="26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72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4"/>
        <v/>
      </c>
      <c r="BD197" s="103" t="str">
        <f t="shared" si="25"/>
        <v>AA</v>
      </c>
      <c r="BE197" s="103" t="str">
        <f t="shared" si="26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4"/>
        <v/>
      </c>
      <c r="BD198" s="103" t="str">
        <f t="shared" si="25"/>
        <v>AA</v>
      </c>
      <c r="BE198" s="103" t="str">
        <f t="shared" si="26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5263</v>
      </c>
      <c r="G199" s="103" t="s">
        <v>4330</v>
      </c>
      <c r="H199" s="103" t="s">
        <v>4331</v>
      </c>
      <c r="I199" s="142" t="s">
        <v>4343</v>
      </c>
      <c r="J199" s="149" t="s">
        <v>5267</v>
      </c>
      <c r="K199" s="149" t="s">
        <v>5268</v>
      </c>
      <c r="L199" s="149" t="s">
        <v>5269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5267</v>
      </c>
      <c r="AC199" s="104" t="s">
        <v>5268</v>
      </c>
      <c r="AD199" s="104" t="s">
        <v>5269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5270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 t="shared" si="24"/>
        <v>63</v>
      </c>
      <c r="BD199" s="103" t="str">
        <f t="shared" si="25"/>
        <v>INDENIZAÇÃO</v>
      </c>
      <c r="BE199" s="103" t="str">
        <f t="shared" si="26"/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5271</v>
      </c>
      <c r="G200" s="103" t="s">
        <v>4330</v>
      </c>
      <c r="H200" s="103" t="s">
        <v>4331</v>
      </c>
      <c r="I200" s="142" t="s">
        <v>4343</v>
      </c>
      <c r="J200" s="149" t="s">
        <v>5272</v>
      </c>
      <c r="K200" s="149" t="s">
        <v>5273</v>
      </c>
      <c r="L200" s="149" t="s">
        <v>5274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5272</v>
      </c>
      <c r="AC200" s="104" t="s">
        <v>5273</v>
      </c>
      <c r="AD200" s="104" t="s">
        <v>5274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5275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 t="shared" si="24"/>
        <v>42</v>
      </c>
      <c r="BD200" s="103" t="str">
        <f t="shared" si="25"/>
        <v>INDENIZAÇÃO</v>
      </c>
      <c r="BE200" s="103" t="str">
        <f t="shared" si="26"/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customHeight="1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4"/>
        <v/>
      </c>
      <c r="BD201" s="103" t="str">
        <f t="shared" si="25"/>
        <v>AA</v>
      </c>
      <c r="BE201" s="103" t="str">
        <f t="shared" si="26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4"/>
        <v/>
      </c>
      <c r="BD202" s="103" t="str">
        <f t="shared" si="25"/>
        <v>AA</v>
      </c>
      <c r="BE202" s="103" t="str">
        <f t="shared" si="26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5279</v>
      </c>
      <c r="G203" s="103" t="s">
        <v>4330</v>
      </c>
      <c r="H203" s="103" t="s">
        <v>4331</v>
      </c>
      <c r="I203" s="142" t="s">
        <v>4343</v>
      </c>
      <c r="J203" s="149" t="s">
        <v>5283</v>
      </c>
      <c r="K203" s="149" t="s">
        <v>4432</v>
      </c>
      <c r="L203" s="149" t="s">
        <v>5284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5283</v>
      </c>
      <c r="AC203" s="149" t="s">
        <v>4432</v>
      </c>
      <c r="AD203" s="149" t="s">
        <v>5284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5285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 t="shared" si="24"/>
        <v>117</v>
      </c>
      <c r="BD203" s="103" t="str">
        <f t="shared" si="25"/>
        <v>INDENIZAÇÃO</v>
      </c>
      <c r="BE203" s="103" t="str">
        <f t="shared" si="26"/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6" t="s">
        <v>4461</v>
      </c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4"/>
        <v/>
      </c>
      <c r="BD204" s="103" t="str">
        <f t="shared" si="25"/>
        <v>AA</v>
      </c>
      <c r="BE204" s="103" t="str">
        <f t="shared" si="26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4"/>
        <v/>
      </c>
      <c r="BD205" s="103" t="str">
        <f t="shared" si="25"/>
        <v>AA</v>
      </c>
      <c r="BE205" s="103" t="str">
        <f t="shared" si="26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80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4"/>
        <v/>
      </c>
      <c r="BD206" s="103" t="str">
        <f t="shared" si="25"/>
        <v>AA</v>
      </c>
      <c r="BE206" s="103" t="str">
        <f t="shared" si="26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5295</v>
      </c>
      <c r="G207" s="103" t="s">
        <v>4330</v>
      </c>
      <c r="H207" s="103" t="s">
        <v>4331</v>
      </c>
      <c r="I207" s="142" t="s">
        <v>4440</v>
      </c>
      <c r="J207" s="149" t="s">
        <v>5299</v>
      </c>
      <c r="K207" s="149" t="s">
        <v>4432</v>
      </c>
      <c r="L207" s="149" t="s">
        <v>5300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5301</v>
      </c>
      <c r="AC207" s="139" t="s">
        <v>5302</v>
      </c>
      <c r="AD207" s="223" t="s">
        <v>5303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 t="shared" si="24"/>
        <v>74</v>
      </c>
      <c r="BD207" s="103" t="str">
        <f t="shared" si="25"/>
        <v>INDENIZAÇÃO</v>
      </c>
      <c r="BE207" s="103" t="str">
        <f t="shared" si="26"/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6" t="s">
        <v>4461</v>
      </c>
      <c r="BM207" s="239"/>
    </row>
    <row r="208" spans="1:68" s="232" customFormat="1" ht="29.25" customHeight="1">
      <c r="A208" s="165">
        <v>199</v>
      </c>
      <c r="B208" s="103" t="s">
        <v>4431</v>
      </c>
      <c r="C208" s="103" t="s">
        <v>5294</v>
      </c>
      <c r="D208" s="103">
        <v>1</v>
      </c>
      <c r="E208" s="103" t="s">
        <v>4432</v>
      </c>
      <c r="F208" s="104" t="s">
        <v>5305</v>
      </c>
      <c r="G208" s="103" t="s">
        <v>4330</v>
      </c>
      <c r="H208" s="103" t="s">
        <v>4331</v>
      </c>
      <c r="I208" s="142" t="s">
        <v>4343</v>
      </c>
      <c r="J208" s="149" t="s">
        <v>5306</v>
      </c>
      <c r="K208" s="149" t="s">
        <v>5307</v>
      </c>
      <c r="L208" s="149" t="s">
        <v>5308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5306</v>
      </c>
      <c r="AC208" s="173" t="s">
        <v>5307</v>
      </c>
      <c r="AD208" s="173" t="s">
        <v>5308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5309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 t="shared" si="24"/>
        <v>42</v>
      </c>
      <c r="BD208" s="103" t="str">
        <f t="shared" si="25"/>
        <v>INDENIZAÇÃO</v>
      </c>
      <c r="BE208" s="103" t="str">
        <f t="shared" si="26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5305</v>
      </c>
      <c r="G209" s="103" t="s">
        <v>4330</v>
      </c>
      <c r="H209" s="103" t="s">
        <v>4331</v>
      </c>
      <c r="I209" s="142" t="s">
        <v>4440</v>
      </c>
      <c r="J209" s="149" t="s">
        <v>5310</v>
      </c>
      <c r="K209" s="149" t="s">
        <v>5311</v>
      </c>
      <c r="L209" s="149" t="s">
        <v>5312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5313</v>
      </c>
      <c r="AB209" s="149" t="s">
        <v>5314</v>
      </c>
      <c r="AC209" s="104" t="s">
        <v>5315</v>
      </c>
      <c r="AD209" s="104" t="s">
        <v>5316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5317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 t="shared" si="24"/>
        <v>102</v>
      </c>
      <c r="BD209" s="103" t="str">
        <f t="shared" si="25"/>
        <v>INDENIZAÇÃO</v>
      </c>
      <c r="BE209" s="103" t="str">
        <f t="shared" si="26"/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6" t="s">
        <v>4461</v>
      </c>
      <c r="BM209" s="237"/>
    </row>
    <row r="210" spans="1:67" s="232" customFormat="1" ht="29.25" customHeight="1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5318</v>
      </c>
      <c r="G210" s="103" t="s">
        <v>4330</v>
      </c>
      <c r="H210" s="103" t="s">
        <v>4331</v>
      </c>
      <c r="I210" s="142" t="s">
        <v>4343</v>
      </c>
      <c r="J210" s="149" t="s">
        <v>5319</v>
      </c>
      <c r="K210" s="149" t="s">
        <v>4432</v>
      </c>
      <c r="L210" s="149" t="s">
        <v>5320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5319</v>
      </c>
      <c r="AC210" s="104" t="s">
        <v>4432</v>
      </c>
      <c r="AD210" s="104" t="s">
        <v>5320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5321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 t="shared" si="24"/>
        <v>28</v>
      </c>
      <c r="BD210" s="103" t="str">
        <f t="shared" si="25"/>
        <v>INDENIZAÇÃO</v>
      </c>
      <c r="BE210" s="103" t="str">
        <f t="shared" si="26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customHeight="1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4"/>
        <v/>
      </c>
      <c r="BD211" s="103" t="str">
        <f t="shared" si="25"/>
        <v>AA</v>
      </c>
      <c r="BE211" s="103" t="str">
        <f t="shared" si="26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4"/>
        <v/>
      </c>
      <c r="BD212" s="103" t="str">
        <f t="shared" si="25"/>
        <v>AA</v>
      </c>
      <c r="BE212" s="103" t="str">
        <f t="shared" si="26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5325</v>
      </c>
      <c r="G213" s="103" t="s">
        <v>4330</v>
      </c>
      <c r="H213" s="103" t="s">
        <v>4331</v>
      </c>
      <c r="I213" s="142" t="s">
        <v>4343</v>
      </c>
      <c r="J213" s="149" t="s">
        <v>5329</v>
      </c>
      <c r="K213" s="149" t="s">
        <v>5330</v>
      </c>
      <c r="L213" s="149" t="s">
        <v>5331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5329</v>
      </c>
      <c r="AC213" s="104" t="s">
        <v>5330</v>
      </c>
      <c r="AD213" s="104" t="s">
        <v>5331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5332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 t="shared" si="24"/>
        <v>56</v>
      </c>
      <c r="BD213" s="103" t="str">
        <f t="shared" si="25"/>
        <v>INDENIZAÇÃO</v>
      </c>
      <c r="BE213" s="103" t="str">
        <f t="shared" si="26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6" t="s">
        <v>4461</v>
      </c>
      <c r="BM213" s="237"/>
    </row>
    <row r="214" spans="1:67" s="232" customFormat="1" ht="29.25" customHeight="1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4"/>
        <v/>
      </c>
      <c r="BD214" s="103" t="str">
        <f t="shared" si="25"/>
        <v>AA</v>
      </c>
      <c r="BE214" s="103" t="str">
        <f t="shared" si="26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5337</v>
      </c>
      <c r="G215" s="103" t="s">
        <v>4330</v>
      </c>
      <c r="H215" s="103" t="s">
        <v>4331</v>
      </c>
      <c r="I215" s="142" t="s">
        <v>4343</v>
      </c>
      <c r="J215" s="149" t="s">
        <v>5338</v>
      </c>
      <c r="K215" s="149" t="s">
        <v>5339</v>
      </c>
      <c r="L215" s="149" t="s">
        <v>5340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5338</v>
      </c>
      <c r="AC215" s="104" t="s">
        <v>5339</v>
      </c>
      <c r="AD215" s="104" t="s">
        <v>5340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5341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 t="shared" si="24"/>
        <v>69</v>
      </c>
      <c r="BD215" s="103" t="str">
        <f t="shared" si="25"/>
        <v>INDENIZAÇÃO</v>
      </c>
      <c r="BE215" s="103" t="str">
        <f t="shared" si="26"/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6" t="s">
        <v>4461</v>
      </c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4"/>
        <v/>
      </c>
      <c r="BD216" s="103" t="str">
        <f t="shared" si="25"/>
        <v>AA</v>
      </c>
      <c r="BE216" s="103" t="str">
        <f t="shared" si="26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4"/>
        <v/>
      </c>
      <c r="BD217" s="103" t="str">
        <f t="shared" si="25"/>
        <v>AA</v>
      </c>
      <c r="BE217" s="103" t="str">
        <f t="shared" si="26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5350</v>
      </c>
      <c r="G218" s="103" t="s">
        <v>4330</v>
      </c>
      <c r="H218" s="103" t="s">
        <v>4331</v>
      </c>
      <c r="I218" s="142" t="s">
        <v>4343</v>
      </c>
      <c r="J218" s="149" t="s">
        <v>5351</v>
      </c>
      <c r="K218" s="149" t="s">
        <v>5352</v>
      </c>
      <c r="L218" s="149" t="s">
        <v>5353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5351</v>
      </c>
      <c r="AC218" s="104" t="s">
        <v>5352</v>
      </c>
      <c r="AD218" s="104" t="s">
        <v>5353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5354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 t="shared" si="24"/>
        <v>77</v>
      </c>
      <c r="BD218" s="103" t="str">
        <f t="shared" si="25"/>
        <v>INDENIZAÇÃO</v>
      </c>
      <c r="BE218" s="103" t="str">
        <f t="shared" si="26"/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6" t="s">
        <v>4461</v>
      </c>
      <c r="BM218" s="239"/>
    </row>
    <row r="219" spans="1:67" s="232" customFormat="1" ht="29.25" customHeight="1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27">IF(AY219-KD219=0,"",AY219-O219)</f>
        <v/>
      </c>
      <c r="BD219" s="103" t="str">
        <f t="shared" ref="BD219:BD246" si="28">IF(AND(AI219&lt;&gt;"SIM",AI219="UH"),"AA","INDENIZAÇÃO")</f>
        <v>AA</v>
      </c>
      <c r="BE219" s="103" t="str">
        <f t="shared" ref="BE219:BE246" si="29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5363</v>
      </c>
      <c r="G222" s="103" t="s">
        <v>4330</v>
      </c>
      <c r="H222" s="103" t="s">
        <v>4331</v>
      </c>
      <c r="I222" s="142" t="s">
        <v>4343</v>
      </c>
      <c r="J222" s="149" t="s">
        <v>5367</v>
      </c>
      <c r="K222" s="149" t="s">
        <v>5368</v>
      </c>
      <c r="L222" s="149" t="s">
        <v>5369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5367</v>
      </c>
      <c r="AC222" s="104" t="s">
        <v>5368</v>
      </c>
      <c r="AD222" s="104" t="s">
        <v>5369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5370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 t="shared" si="27"/>
        <v>94</v>
      </c>
      <c r="BD222" s="103" t="str">
        <f t="shared" si="28"/>
        <v>INDENIZAÇÃO</v>
      </c>
      <c r="BE222" s="103" t="str">
        <f t="shared" si="29"/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6" t="s">
        <v>4461</v>
      </c>
      <c r="BM222" s="239"/>
    </row>
    <row r="223" spans="1:67" s="232" customFormat="1" ht="29.25" customHeight="1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5375</v>
      </c>
      <c r="G224" s="103" t="s">
        <v>4330</v>
      </c>
      <c r="H224" s="103" t="s">
        <v>4331</v>
      </c>
      <c r="I224" s="142" t="s">
        <v>4343</v>
      </c>
      <c r="J224" s="149" t="s">
        <v>5376</v>
      </c>
      <c r="K224" s="149" t="s">
        <v>5377</v>
      </c>
      <c r="L224" s="149" t="s">
        <v>5378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5376</v>
      </c>
      <c r="AC224" s="104" t="s">
        <v>5377</v>
      </c>
      <c r="AD224" s="104" t="s">
        <v>5378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5379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 t="shared" si="27"/>
        <v>101</v>
      </c>
      <c r="BD224" s="103" t="str">
        <f t="shared" si="28"/>
        <v>INDENIZAÇÃO</v>
      </c>
      <c r="BE224" s="103" t="str">
        <f t="shared" si="29"/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6" t="s">
        <v>4461</v>
      </c>
      <c r="BM224" s="239"/>
    </row>
    <row r="225" spans="1:67" s="232" customFormat="1" ht="29.25" customHeight="1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5380</v>
      </c>
      <c r="G225" s="103" t="s">
        <v>4330</v>
      </c>
      <c r="H225" s="103" t="s">
        <v>4331</v>
      </c>
      <c r="I225" s="142" t="s">
        <v>4343</v>
      </c>
      <c r="J225" s="149" t="s">
        <v>5381</v>
      </c>
      <c r="K225" s="149" t="s">
        <v>5382</v>
      </c>
      <c r="L225" s="149" t="s">
        <v>5383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5381</v>
      </c>
      <c r="AC225" s="149" t="s">
        <v>5382</v>
      </c>
      <c r="AD225" s="149" t="s">
        <v>5383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5384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 t="shared" si="27"/>
        <v>94</v>
      </c>
      <c r="BD225" s="103" t="str">
        <f t="shared" si="28"/>
        <v>INDENIZAÇÃO</v>
      </c>
      <c r="BE225" s="103" t="str">
        <f t="shared" si="29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6" t="s">
        <v>4461</v>
      </c>
      <c r="BM225" s="239"/>
    </row>
    <row r="226" spans="1:67" s="232" customFormat="1" ht="29.25" customHeight="1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5385</v>
      </c>
      <c r="G227" s="103" t="s">
        <v>4330</v>
      </c>
      <c r="H227" s="103" t="s">
        <v>4331</v>
      </c>
      <c r="I227" s="142" t="s">
        <v>4343</v>
      </c>
      <c r="J227" s="149" t="s">
        <v>5389</v>
      </c>
      <c r="K227" s="149" t="s">
        <v>5390</v>
      </c>
      <c r="L227" s="149" t="s">
        <v>5391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5389</v>
      </c>
      <c r="AC227" s="149" t="s">
        <v>5390</v>
      </c>
      <c r="AD227" s="149" t="s">
        <v>5391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5392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 t="shared" si="27"/>
        <v>96</v>
      </c>
      <c r="BD227" s="103" t="str">
        <f t="shared" si="28"/>
        <v>INDENIZAÇÃO</v>
      </c>
      <c r="BE227" s="103" t="str">
        <f t="shared" si="29"/>
        <v>NÃO</v>
      </c>
      <c r="BF227" s="250" t="s">
        <v>4357</v>
      </c>
      <c r="BG227" s="250" t="s">
        <v>4357</v>
      </c>
      <c r="BH227" s="250" t="s">
        <v>4357</v>
      </c>
      <c r="BI227" s="251" t="s">
        <v>5393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27"/>
        <v/>
      </c>
      <c r="BD229" s="103" t="str">
        <f t="shared" si="28"/>
        <v>AA</v>
      </c>
      <c r="BE229" s="103" t="str">
        <f t="shared" si="29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5294</v>
      </c>
      <c r="D230" s="103">
        <v>1</v>
      </c>
      <c r="E230" s="103" t="s">
        <v>4432</v>
      </c>
      <c r="F230" s="104" t="s">
        <v>5401</v>
      </c>
      <c r="G230" s="103" t="s">
        <v>4351</v>
      </c>
      <c r="H230" s="103" t="s">
        <v>4331</v>
      </c>
      <c r="I230" s="153" t="s">
        <v>4332</v>
      </c>
      <c r="J230" s="149" t="s">
        <v>5402</v>
      </c>
      <c r="K230" s="149" t="s">
        <v>5403</v>
      </c>
      <c r="L230" s="149" t="s">
        <v>5404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5402</v>
      </c>
      <c r="AC230" s="104" t="s">
        <v>5403</v>
      </c>
      <c r="AD230" s="104" t="s">
        <v>5404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 t="shared" si="27"/>
        <v>42</v>
      </c>
      <c r="BD230" s="103" t="str">
        <f t="shared" si="28"/>
        <v>INDENIZAÇÃO</v>
      </c>
      <c r="BE230" s="103" t="str">
        <f t="shared" si="29"/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27"/>
        <v/>
      </c>
      <c r="BD231" s="103" t="str">
        <f t="shared" si="28"/>
        <v>INDENIZAÇÃO</v>
      </c>
      <c r="BE231" s="103" t="str">
        <f t="shared" si="29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80"/>
      <c r="AV232" s="112"/>
      <c r="AW232" s="103"/>
      <c r="AX232" s="105"/>
      <c r="AY232" s="166"/>
      <c r="AZ232" s="105"/>
      <c r="BA232" s="103"/>
      <c r="BB232" s="136"/>
      <c r="BC232" s="220" t="str">
        <f t="shared" si="27"/>
        <v/>
      </c>
      <c r="BD232" s="103" t="str">
        <f t="shared" si="28"/>
        <v>INDENIZAÇÃO</v>
      </c>
      <c r="BE232" s="103" t="str">
        <f t="shared" si="29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80"/>
      <c r="AV233" s="112"/>
      <c r="AW233" s="103"/>
      <c r="AX233" s="105"/>
      <c r="AY233" s="166"/>
      <c r="AZ233" s="105"/>
      <c r="BA233" s="103"/>
      <c r="BB233" s="136"/>
      <c r="BC233" s="220" t="str">
        <f t="shared" si="27"/>
        <v/>
      </c>
      <c r="BD233" s="103" t="str">
        <f t="shared" si="28"/>
        <v>INDENIZAÇÃO</v>
      </c>
      <c r="BE233" s="103" t="str">
        <f t="shared" si="29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80"/>
      <c r="AV234" s="112"/>
      <c r="AW234" s="103"/>
      <c r="AX234" s="105"/>
      <c r="AY234" s="166"/>
      <c r="AZ234" s="105"/>
      <c r="BA234" s="103"/>
      <c r="BB234" s="136"/>
      <c r="BC234" s="220" t="str">
        <f t="shared" si="27"/>
        <v/>
      </c>
      <c r="BD234" s="103" t="str">
        <f t="shared" si="28"/>
        <v>INDENIZAÇÃO</v>
      </c>
      <c r="BE234" s="103" t="str">
        <f t="shared" si="29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27"/>
        <v/>
      </c>
      <c r="BD235" s="103" t="str">
        <f t="shared" si="28"/>
        <v>AA</v>
      </c>
      <c r="BE235" s="103" t="str">
        <f t="shared" si="29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27"/>
        <v/>
      </c>
      <c r="BD236" s="103" t="str">
        <f t="shared" si="28"/>
        <v>AA</v>
      </c>
      <c r="BE236" s="103" t="str">
        <f t="shared" si="29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5434</v>
      </c>
      <c r="G237" s="103" t="s">
        <v>4330</v>
      </c>
      <c r="H237" s="103" t="s">
        <v>4331</v>
      </c>
      <c r="I237" s="142" t="s">
        <v>4343</v>
      </c>
      <c r="J237" s="149" t="s">
        <v>5435</v>
      </c>
      <c r="K237" s="149" t="s">
        <v>5436</v>
      </c>
      <c r="L237" s="149" t="s">
        <v>5437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5435</v>
      </c>
      <c r="AC237" s="104" t="s">
        <v>5436</v>
      </c>
      <c r="AD237" s="104" t="s">
        <v>5437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5438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 t="shared" si="27"/>
        <v>84</v>
      </c>
      <c r="BD237" s="103" t="str">
        <f t="shared" si="28"/>
        <v>INDENIZAÇÃO</v>
      </c>
      <c r="BE237" s="103" t="str">
        <f t="shared" si="29"/>
        <v>NÃO</v>
      </c>
      <c r="BF237" s="112" t="s">
        <v>4357</v>
      </c>
      <c r="BG237" s="112" t="s">
        <v>4357</v>
      </c>
      <c r="BH237" s="112" t="s">
        <v>4357</v>
      </c>
      <c r="BI237" s="109" t="s">
        <v>5393</v>
      </c>
      <c r="BJ237" s="109"/>
      <c r="BK237" s="109"/>
      <c r="BL237" s="109"/>
      <c r="BM237" s="239"/>
    </row>
    <row r="238" spans="1:67" s="232" customFormat="1" ht="29.25" customHeight="1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5439</v>
      </c>
      <c r="G238" s="103" t="s">
        <v>4330</v>
      </c>
      <c r="H238" s="103" t="s">
        <v>4331</v>
      </c>
      <c r="I238" s="142" t="s">
        <v>4343</v>
      </c>
      <c r="J238" s="149" t="s">
        <v>5440</v>
      </c>
      <c r="K238" s="149" t="s">
        <v>5441</v>
      </c>
      <c r="L238" s="149" t="s">
        <v>5442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5440</v>
      </c>
      <c r="AC238" s="104" t="s">
        <v>5441</v>
      </c>
      <c r="AD238" s="104" t="s">
        <v>5442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5443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 t="shared" si="27"/>
        <v>101</v>
      </c>
      <c r="BD238" s="103" t="str">
        <f t="shared" si="28"/>
        <v>INDENIZAÇÃO</v>
      </c>
      <c r="BE238" s="103" t="str">
        <f t="shared" si="29"/>
        <v>NÃO</v>
      </c>
      <c r="BF238" s="112" t="s">
        <v>4357</v>
      </c>
      <c r="BG238" s="112" t="s">
        <v>4357</v>
      </c>
      <c r="BH238" s="112" t="s">
        <v>4357</v>
      </c>
      <c r="BI238" s="109" t="s">
        <v>5393</v>
      </c>
      <c r="BJ238" s="109"/>
      <c r="BK238" s="109"/>
      <c r="BL238" s="109"/>
      <c r="BM238" s="239"/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5294</v>
      </c>
      <c r="D239" s="103">
        <v>1</v>
      </c>
      <c r="E239" s="103" t="s">
        <v>4432</v>
      </c>
      <c r="F239" s="104" t="s">
        <v>5444</v>
      </c>
      <c r="G239" s="103" t="s">
        <v>4330</v>
      </c>
      <c r="H239" s="103" t="s">
        <v>4331</v>
      </c>
      <c r="I239" s="142" t="s">
        <v>4343</v>
      </c>
      <c r="J239" s="149" t="s">
        <v>5445</v>
      </c>
      <c r="K239" s="149" t="s">
        <v>5446</v>
      </c>
      <c r="L239" s="149" t="s">
        <v>5447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5445</v>
      </c>
      <c r="AC239" s="149" t="s">
        <v>5446</v>
      </c>
      <c r="AD239" s="149" t="s">
        <v>5447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5448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 t="shared" si="27"/>
        <v>42</v>
      </c>
      <c r="BD239" s="103" t="str">
        <f t="shared" si="28"/>
        <v>INDENIZAÇÃO</v>
      </c>
      <c r="BE239" s="103" t="str">
        <f t="shared" si="29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5449</v>
      </c>
      <c r="G240" s="103" t="s">
        <v>4330</v>
      </c>
      <c r="H240" s="103" t="s">
        <v>4331</v>
      </c>
      <c r="I240" s="142" t="s">
        <v>4343</v>
      </c>
      <c r="J240" s="149" t="s">
        <v>5450</v>
      </c>
      <c r="K240" s="149" t="s">
        <v>5451</v>
      </c>
      <c r="L240" s="149" t="s">
        <v>5452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5450</v>
      </c>
      <c r="AC240" s="104" t="s">
        <v>5451</v>
      </c>
      <c r="AD240" s="104" t="s">
        <v>5452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5453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 t="shared" si="27"/>
        <v>101</v>
      </c>
      <c r="BD240" s="103" t="str">
        <f t="shared" si="28"/>
        <v>INDENIZAÇÃO</v>
      </c>
      <c r="BE240" s="103" t="str">
        <f t="shared" si="29"/>
        <v>NÃO</v>
      </c>
      <c r="BF240" s="112" t="s">
        <v>4357</v>
      </c>
      <c r="BG240" s="112" t="s">
        <v>4357</v>
      </c>
      <c r="BH240" s="112" t="s">
        <v>4357</v>
      </c>
      <c r="BI240" s="109" t="s">
        <v>5393</v>
      </c>
      <c r="BJ240" s="109"/>
      <c r="BK240" s="109"/>
      <c r="BL240" s="109"/>
      <c r="BM240" s="239"/>
    </row>
    <row r="241" spans="1:107" s="232" customFormat="1" ht="29.25" customHeight="1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5454</v>
      </c>
      <c r="G241" s="103" t="s">
        <v>4330</v>
      </c>
      <c r="H241" s="103" t="s">
        <v>4331</v>
      </c>
      <c r="I241" s="142" t="s">
        <v>4343</v>
      </c>
      <c r="J241" s="149" t="s">
        <v>5455</v>
      </c>
      <c r="K241" s="149" t="s">
        <v>5456</v>
      </c>
      <c r="L241" s="149" t="s">
        <v>5457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5455</v>
      </c>
      <c r="AC241" s="104" t="s">
        <v>5456</v>
      </c>
      <c r="AD241" s="104" t="s">
        <v>5457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5458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 t="shared" si="27"/>
        <v>25</v>
      </c>
      <c r="BD241" s="103" t="str">
        <f t="shared" si="28"/>
        <v>INDENIZAÇÃO</v>
      </c>
      <c r="BE241" s="103" t="str">
        <f t="shared" si="29"/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5459</v>
      </c>
      <c r="G242" s="103" t="s">
        <v>4330</v>
      </c>
      <c r="H242" s="103" t="s">
        <v>4331</v>
      </c>
      <c r="I242" s="142" t="s">
        <v>4343</v>
      </c>
      <c r="J242" s="149" t="s">
        <v>5460</v>
      </c>
      <c r="K242" s="149" t="s">
        <v>5461</v>
      </c>
      <c r="L242" s="149" t="s">
        <v>5462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5460</v>
      </c>
      <c r="AC242" s="104" t="s">
        <v>5461</v>
      </c>
      <c r="AD242" s="104" t="s">
        <v>5462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5463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 t="shared" si="27"/>
        <v>63</v>
      </c>
      <c r="BD242" s="103" t="str">
        <f t="shared" si="28"/>
        <v>INDENIZAÇÃO</v>
      </c>
      <c r="BE242" s="103" t="str">
        <f t="shared" si="29"/>
        <v>NÃO</v>
      </c>
      <c r="BF242" s="112" t="s">
        <v>4357</v>
      </c>
      <c r="BG242" s="112" t="s">
        <v>4357</v>
      </c>
      <c r="BH242" s="112" t="s">
        <v>4357</v>
      </c>
      <c r="BI242" s="109" t="s">
        <v>5393</v>
      </c>
      <c r="BJ242" s="109"/>
      <c r="BK242" s="109"/>
      <c r="BL242" s="109"/>
      <c r="BM242" s="239"/>
    </row>
    <row r="243" spans="1:107" s="232" customFormat="1" ht="29.25" customHeight="1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5464</v>
      </c>
      <c r="G243" s="103" t="s">
        <v>4330</v>
      </c>
      <c r="H243" s="103" t="s">
        <v>4331</v>
      </c>
      <c r="I243" s="142" t="s">
        <v>4343</v>
      </c>
      <c r="J243" s="149" t="s">
        <v>5465</v>
      </c>
      <c r="K243" s="149" t="s">
        <v>5466</v>
      </c>
      <c r="L243" s="149" t="s">
        <v>5467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5465</v>
      </c>
      <c r="AC243" s="104" t="s">
        <v>5466</v>
      </c>
      <c r="AD243" s="104" t="s">
        <v>5467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5468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27"/>
        <v>69</v>
      </c>
      <c r="BD243" s="103" t="str">
        <f t="shared" si="28"/>
        <v>INDENIZAÇÃO</v>
      </c>
      <c r="BE243" s="103" t="str">
        <f t="shared" si="29"/>
        <v>NÃO</v>
      </c>
      <c r="BF243" s="140" t="s">
        <v>4357</v>
      </c>
      <c r="BG243" s="140" t="s">
        <v>4357</v>
      </c>
      <c r="BH243" s="140" t="s">
        <v>4357</v>
      </c>
      <c r="BI243" s="154" t="s">
        <v>5393</v>
      </c>
      <c r="BJ243" s="154"/>
      <c r="BK243" s="154"/>
      <c r="BL243" s="154"/>
      <c r="BM243" s="237"/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27"/>
        <v/>
      </c>
      <c r="BD244" s="103" t="str">
        <f t="shared" si="28"/>
        <v>AA</v>
      </c>
      <c r="BE244" s="103" t="str">
        <f t="shared" si="29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5473</v>
      </c>
      <c r="G245" s="103" t="s">
        <v>4330</v>
      </c>
      <c r="H245" s="103" t="s">
        <v>4331</v>
      </c>
      <c r="I245" s="142" t="s">
        <v>4343</v>
      </c>
      <c r="J245" s="149" t="s">
        <v>5474</v>
      </c>
      <c r="K245" s="149" t="s">
        <v>5475</v>
      </c>
      <c r="L245" s="149" t="s">
        <v>5476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5474</v>
      </c>
      <c r="AC245" s="149" t="s">
        <v>5475</v>
      </c>
      <c r="AD245" s="149" t="s">
        <v>5476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5477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 t="shared" si="27"/>
        <v>23</v>
      </c>
      <c r="BD245" s="103" t="str">
        <f t="shared" si="28"/>
        <v>INDENIZAÇÃO</v>
      </c>
      <c r="BE245" s="103" t="str">
        <f t="shared" si="29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customHeight="1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27"/>
        <v/>
      </c>
      <c r="BD246" s="103" t="str">
        <f t="shared" si="28"/>
        <v>AA</v>
      </c>
      <c r="BE246" s="103" t="str">
        <f t="shared" si="29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5294</v>
      </c>
      <c r="D248" s="103">
        <v>1</v>
      </c>
      <c r="E248" s="103" t="s">
        <v>4432</v>
      </c>
      <c r="F248" s="104" t="s">
        <v>5485</v>
      </c>
      <c r="G248" s="103" t="s">
        <v>4330</v>
      </c>
      <c r="H248" s="103" t="s">
        <v>4331</v>
      </c>
      <c r="I248" s="142" t="s">
        <v>4343</v>
      </c>
      <c r="J248" s="114" t="s">
        <v>5486</v>
      </c>
      <c r="K248" s="149" t="s">
        <v>5487</v>
      </c>
      <c r="L248" s="149" t="s">
        <v>5488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5486</v>
      </c>
      <c r="AC248" s="104" t="s">
        <v>5487</v>
      </c>
      <c r="AD248" s="114" t="s">
        <v>5488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5489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 t="shared" ref="BC248:BC279" si="30">IF(AY248-KD248=0,"",AY248-O248)</f>
        <v>42</v>
      </c>
      <c r="BD248" s="103" t="str">
        <f t="shared" ref="BD248:BD279" si="31">IF(AND(AI248&lt;&gt;"SIM",AI248="UH"),"AA","INDENIZAÇÃO")</f>
        <v>INDENIZAÇÃO</v>
      </c>
      <c r="BE248" s="103" t="str">
        <f t="shared" ref="BE248:BE279" si="32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customHeight="1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0"/>
        <v/>
      </c>
      <c r="BD249" s="103" t="str">
        <f t="shared" si="31"/>
        <v>AA</v>
      </c>
      <c r="BE249" s="103" t="str">
        <f t="shared" si="32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0"/>
        <v/>
      </c>
      <c r="BD250" s="103" t="str">
        <f t="shared" si="31"/>
        <v>AA</v>
      </c>
      <c r="BE250" s="103" t="str">
        <f t="shared" si="32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5294</v>
      </c>
      <c r="D251" s="103">
        <v>1</v>
      </c>
      <c r="E251" s="103" t="s">
        <v>4432</v>
      </c>
      <c r="F251" s="104" t="s">
        <v>5498</v>
      </c>
      <c r="G251" s="103" t="s">
        <v>4330</v>
      </c>
      <c r="H251" s="103" t="s">
        <v>4331</v>
      </c>
      <c r="I251" s="142" t="s">
        <v>4343</v>
      </c>
      <c r="J251" s="114" t="s">
        <v>5499</v>
      </c>
      <c r="K251" s="149" t="s">
        <v>5500</v>
      </c>
      <c r="L251" s="149" t="s">
        <v>5501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5499</v>
      </c>
      <c r="AC251" s="104" t="s">
        <v>5500</v>
      </c>
      <c r="AD251" s="104" t="s">
        <v>5501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5502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 t="shared" si="30"/>
        <v>35</v>
      </c>
      <c r="BD251" s="103" t="str">
        <f t="shared" si="31"/>
        <v>INDENIZAÇÃO</v>
      </c>
      <c r="BE251" s="103" t="str">
        <f t="shared" si="32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customHeight="1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0"/>
        <v/>
      </c>
      <c r="BD252" s="103" t="str">
        <f t="shared" si="31"/>
        <v>AA</v>
      </c>
      <c r="BE252" s="103" t="str">
        <f t="shared" si="32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0"/>
        <v/>
      </c>
      <c r="BD253" s="103" t="str">
        <f t="shared" si="31"/>
        <v>AA</v>
      </c>
      <c r="BE253" s="103" t="str">
        <f t="shared" si="32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0"/>
        <v/>
      </c>
      <c r="BD254" s="103" t="str">
        <f t="shared" si="31"/>
        <v>AA</v>
      </c>
      <c r="BE254" s="103" t="str">
        <f t="shared" si="32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0"/>
        <v/>
      </c>
      <c r="BD255" s="103" t="str">
        <f t="shared" si="31"/>
        <v>AA</v>
      </c>
      <c r="BE255" s="103" t="str">
        <f t="shared" si="32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0"/>
        <v/>
      </c>
      <c r="BD256" s="103" t="str">
        <f t="shared" si="31"/>
        <v>AA</v>
      </c>
      <c r="BE256" s="103" t="str">
        <f t="shared" si="32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0"/>
        <v/>
      </c>
      <c r="BD257" s="103" t="str">
        <f t="shared" si="31"/>
        <v>INDENIZAÇÃO</v>
      </c>
      <c r="BE257" s="103" t="str">
        <f t="shared" si="32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0"/>
        <v/>
      </c>
      <c r="BD258" s="103" t="str">
        <f t="shared" si="31"/>
        <v>AA</v>
      </c>
      <c r="BE258" s="103" t="str">
        <f t="shared" si="32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0"/>
        <v/>
      </c>
      <c r="BD259" s="103" t="str">
        <f t="shared" si="31"/>
        <v>AA</v>
      </c>
      <c r="BE259" s="103" t="str">
        <f t="shared" si="32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0"/>
        <v/>
      </c>
      <c r="BD260" s="103" t="str">
        <f t="shared" si="31"/>
        <v>AA</v>
      </c>
      <c r="BE260" s="103" t="str">
        <f t="shared" si="32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0"/>
        <v/>
      </c>
      <c r="BD261" s="103" t="str">
        <f t="shared" si="31"/>
        <v>AA</v>
      </c>
      <c r="BE261" s="103" t="str">
        <f t="shared" si="32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0"/>
        <v/>
      </c>
      <c r="BD262" s="103" t="str">
        <f t="shared" si="31"/>
        <v>AA</v>
      </c>
      <c r="BE262" s="103" t="str">
        <f t="shared" si="32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0"/>
        <v/>
      </c>
      <c r="BD263" s="103" t="str">
        <f t="shared" si="31"/>
        <v>AA</v>
      </c>
      <c r="BE263" s="103" t="str">
        <f t="shared" si="32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5546</v>
      </c>
      <c r="G264" s="103" t="s">
        <v>4351</v>
      </c>
      <c r="H264" s="103" t="s">
        <v>4351</v>
      </c>
      <c r="I264" s="153" t="s">
        <v>4332</v>
      </c>
      <c r="J264" s="149" t="s">
        <v>5547</v>
      </c>
      <c r="K264" s="149" t="s">
        <v>5548</v>
      </c>
      <c r="L264" s="149" t="s">
        <v>5549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5547</v>
      </c>
      <c r="AC264" s="104" t="s">
        <v>5548</v>
      </c>
      <c r="AD264" s="104" t="s">
        <v>5549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5550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 t="shared" si="30"/>
        <v>21</v>
      </c>
      <c r="BD264" s="103" t="str">
        <f t="shared" si="31"/>
        <v>INDENIZAÇÃO</v>
      </c>
      <c r="BE264" s="103" t="str">
        <f t="shared" si="32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customHeight="1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5546</v>
      </c>
      <c r="G265" s="103" t="s">
        <v>4330</v>
      </c>
      <c r="H265" s="103" t="s">
        <v>4331</v>
      </c>
      <c r="I265" s="142" t="s">
        <v>4343</v>
      </c>
      <c r="J265" s="149" t="s">
        <v>5551</v>
      </c>
      <c r="K265" s="149" t="s">
        <v>5552</v>
      </c>
      <c r="L265" s="149" t="s">
        <v>5553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5551</v>
      </c>
      <c r="AC265" s="104" t="s">
        <v>5552</v>
      </c>
      <c r="AD265" s="104" t="s">
        <v>5553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5554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 t="shared" si="30"/>
        <v>137</v>
      </c>
      <c r="BD265" s="103" t="str">
        <f t="shared" si="31"/>
        <v>INDENIZAÇÃO</v>
      </c>
      <c r="BE265" s="103" t="str">
        <f t="shared" si="32"/>
        <v>NÃO</v>
      </c>
      <c r="BF265" s="250" t="s">
        <v>4357</v>
      </c>
      <c r="BG265" s="250" t="s">
        <v>4357</v>
      </c>
      <c r="BH265" s="250" t="s">
        <v>4357</v>
      </c>
      <c r="BI265" s="251" t="s">
        <v>5393</v>
      </c>
      <c r="BJ265" s="154"/>
      <c r="BK265" s="154"/>
      <c r="BL265" s="154"/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0"/>
        <v/>
      </c>
      <c r="BD266" s="103" t="str">
        <f t="shared" si="31"/>
        <v>AA</v>
      </c>
      <c r="BE266" s="103" t="str">
        <f t="shared" si="32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5555</v>
      </c>
      <c r="G267" s="103" t="s">
        <v>4330</v>
      </c>
      <c r="H267" s="103" t="s">
        <v>4352</v>
      </c>
      <c r="I267" s="142" t="s">
        <v>4343</v>
      </c>
      <c r="J267" s="114" t="s">
        <v>5559</v>
      </c>
      <c r="K267" s="149" t="s">
        <v>5560</v>
      </c>
      <c r="L267" s="149" t="s">
        <v>5561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5559</v>
      </c>
      <c r="AC267" s="149" t="s">
        <v>5560</v>
      </c>
      <c r="AD267" s="149" t="s">
        <v>5561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5562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 t="shared" si="30"/>
        <v>46</v>
      </c>
      <c r="BD267" s="103" t="str">
        <f t="shared" si="31"/>
        <v>INDENIZAÇÃO</v>
      </c>
      <c r="BE267" s="103" t="str">
        <f t="shared" si="32"/>
        <v>NÃO</v>
      </c>
      <c r="BF267" s="112" t="s">
        <v>4357</v>
      </c>
      <c r="BG267" s="112" t="s">
        <v>4357</v>
      </c>
      <c r="BH267" s="112" t="s">
        <v>4357</v>
      </c>
      <c r="BI267" s="109" t="s">
        <v>5393</v>
      </c>
      <c r="BJ267" s="109"/>
      <c r="BK267" s="109"/>
      <c r="BL267" s="109"/>
      <c r="BM267" s="239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0"/>
        <v/>
      </c>
      <c r="BD268" s="103" t="str">
        <f t="shared" si="31"/>
        <v>AA</v>
      </c>
      <c r="BE268" s="103" t="str">
        <f t="shared" si="32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5563</v>
      </c>
      <c r="G269" s="103" t="s">
        <v>4330</v>
      </c>
      <c r="H269" s="103" t="s">
        <v>4331</v>
      </c>
      <c r="I269" s="142" t="s">
        <v>4343</v>
      </c>
      <c r="J269" s="114" t="s">
        <v>5567</v>
      </c>
      <c r="K269" s="149" t="s">
        <v>5568</v>
      </c>
      <c r="L269" s="149" t="s">
        <v>5569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5567</v>
      </c>
      <c r="AC269" s="139" t="s">
        <v>5568</v>
      </c>
      <c r="AD269" s="139" t="s">
        <v>5569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5570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 t="shared" si="30"/>
        <v>63</v>
      </c>
      <c r="BD269" s="103" t="str">
        <f t="shared" si="31"/>
        <v>INDENIZAÇÃO</v>
      </c>
      <c r="BE269" s="103" t="str">
        <f t="shared" si="32"/>
        <v>NÃO</v>
      </c>
      <c r="BF269" s="112" t="s">
        <v>4357</v>
      </c>
      <c r="BG269" s="112" t="s">
        <v>4357</v>
      </c>
      <c r="BH269" s="112" t="s">
        <v>4357</v>
      </c>
      <c r="BI269" s="109" t="s">
        <v>5393</v>
      </c>
      <c r="BJ269" s="109"/>
      <c r="BK269" s="109"/>
      <c r="BL269" s="109"/>
      <c r="BM269" s="239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0"/>
        <v/>
      </c>
      <c r="BD270" s="103" t="str">
        <f t="shared" si="31"/>
        <v>AA</v>
      </c>
      <c r="BE270" s="103" t="str">
        <f t="shared" si="32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5571</v>
      </c>
      <c r="G271" s="103" t="s">
        <v>4330</v>
      </c>
      <c r="H271" s="103" t="s">
        <v>4331</v>
      </c>
      <c r="I271" s="142" t="s">
        <v>4343</v>
      </c>
      <c r="J271" s="149" t="s">
        <v>5574</v>
      </c>
      <c r="K271" s="149" t="s">
        <v>5575</v>
      </c>
      <c r="L271" s="149" t="s">
        <v>5576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5574</v>
      </c>
      <c r="AC271" s="104" t="s">
        <v>5575</v>
      </c>
      <c r="AD271" s="104" t="s">
        <v>5576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5577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 t="shared" si="30"/>
        <v>137</v>
      </c>
      <c r="BD271" s="103" t="str">
        <f t="shared" si="31"/>
        <v>INDENIZAÇÃO</v>
      </c>
      <c r="BE271" s="103" t="str">
        <f t="shared" si="32"/>
        <v>NÃO</v>
      </c>
      <c r="BF271" s="250" t="s">
        <v>4357</v>
      </c>
      <c r="BG271" s="250" t="s">
        <v>4357</v>
      </c>
      <c r="BH271" s="250" t="s">
        <v>4357</v>
      </c>
      <c r="BI271" s="251" t="s">
        <v>5393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5578</v>
      </c>
      <c r="G272" s="103" t="s">
        <v>4330</v>
      </c>
      <c r="H272" s="103" t="s">
        <v>4331</v>
      </c>
      <c r="I272" s="142" t="s">
        <v>4343</v>
      </c>
      <c r="J272" s="114" t="s">
        <v>5579</v>
      </c>
      <c r="K272" s="149" t="s">
        <v>5580</v>
      </c>
      <c r="L272" s="149" t="s">
        <v>5581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5579</v>
      </c>
      <c r="AC272" s="104" t="s">
        <v>5580</v>
      </c>
      <c r="AD272" s="139" t="s">
        <v>5581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5582</v>
      </c>
      <c r="AQ272" s="103" t="s">
        <v>4338</v>
      </c>
      <c r="AR272" s="103" t="s">
        <v>4338</v>
      </c>
      <c r="AS272" s="143" t="s">
        <v>4338</v>
      </c>
      <c r="AT272" s="98" t="s">
        <v>4338</v>
      </c>
      <c r="AU272" s="280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 t="shared" si="30"/>
        <v>70</v>
      </c>
      <c r="BD272" s="103" t="str">
        <f t="shared" si="31"/>
        <v>INDENIZAÇÃO</v>
      </c>
      <c r="BE272" s="103" t="str">
        <f t="shared" si="32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0"/>
        <v/>
      </c>
      <c r="BD273" s="103" t="str">
        <f t="shared" si="31"/>
        <v>AA</v>
      </c>
      <c r="BE273" s="103" t="str">
        <f t="shared" si="32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0"/>
        <v/>
      </c>
      <c r="BD274" s="103" t="str">
        <f t="shared" si="31"/>
        <v>INDENIZAÇÃO</v>
      </c>
      <c r="BE274" s="103" t="str">
        <f t="shared" si="32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0"/>
        <v/>
      </c>
      <c r="BD275" s="103" t="str">
        <f t="shared" si="31"/>
        <v>AA</v>
      </c>
      <c r="BE275" s="103" t="str">
        <f t="shared" si="32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5590</v>
      </c>
      <c r="G276" s="103" t="s">
        <v>4330</v>
      </c>
      <c r="H276" s="103" t="s">
        <v>4331</v>
      </c>
      <c r="I276" s="142" t="s">
        <v>4343</v>
      </c>
      <c r="J276" s="114" t="s">
        <v>5594</v>
      </c>
      <c r="K276" s="149" t="s">
        <v>4432</v>
      </c>
      <c r="L276" s="149" t="s">
        <v>5595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5594</v>
      </c>
      <c r="AC276" s="104" t="s">
        <v>4432</v>
      </c>
      <c r="AD276" s="139" t="s">
        <v>5595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5596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 t="shared" si="30"/>
        <v>63</v>
      </c>
      <c r="BD276" s="103" t="str">
        <f t="shared" si="31"/>
        <v>INDENIZAÇÃO</v>
      </c>
      <c r="BE276" s="103" t="str">
        <f t="shared" si="32"/>
        <v>NÃO</v>
      </c>
      <c r="BF276" s="112" t="s">
        <v>4357</v>
      </c>
      <c r="BG276" s="112" t="s">
        <v>4357</v>
      </c>
      <c r="BH276" s="112" t="s">
        <v>4357</v>
      </c>
      <c r="BI276" s="109" t="s">
        <v>5393</v>
      </c>
      <c r="BJ276" s="109"/>
      <c r="BK276" s="109"/>
      <c r="BL276" s="109"/>
      <c r="BM276" s="239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5597</v>
      </c>
      <c r="G277" s="103" t="s">
        <v>4330</v>
      </c>
      <c r="H277" s="103" t="s">
        <v>4331</v>
      </c>
      <c r="I277" s="142" t="s">
        <v>4343</v>
      </c>
      <c r="J277" s="114" t="s">
        <v>5598</v>
      </c>
      <c r="K277" s="149" t="s">
        <v>4432</v>
      </c>
      <c r="L277" s="149" t="s">
        <v>5599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5598</v>
      </c>
      <c r="AC277" s="104" t="s">
        <v>4432</v>
      </c>
      <c r="AD277" s="139" t="s">
        <v>5599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 t="shared" si="30"/>
        <v>63</v>
      </c>
      <c r="BD277" s="103" t="str">
        <f t="shared" si="31"/>
        <v>INDENIZAÇÃO</v>
      </c>
      <c r="BE277" s="103" t="str">
        <f t="shared" si="32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80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0"/>
        <v/>
      </c>
      <c r="BD278" s="103" t="str">
        <f t="shared" si="31"/>
        <v>INDENIZAÇÃO</v>
      </c>
      <c r="BE278" s="103" t="str">
        <f t="shared" si="32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5601</v>
      </c>
      <c r="G279" s="103" t="s">
        <v>4330</v>
      </c>
      <c r="H279" s="103" t="s">
        <v>4331</v>
      </c>
      <c r="I279" s="142" t="s">
        <v>4343</v>
      </c>
      <c r="J279" s="114" t="s">
        <v>5604</v>
      </c>
      <c r="K279" s="149" t="s">
        <v>5605</v>
      </c>
      <c r="L279" s="149" t="s">
        <v>5606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5604</v>
      </c>
      <c r="AC279" s="139" t="s">
        <v>5605</v>
      </c>
      <c r="AD279" s="139" t="s">
        <v>5606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5607</v>
      </c>
      <c r="AQ279" s="103" t="s">
        <v>4338</v>
      </c>
      <c r="AR279" s="103" t="s">
        <v>4338</v>
      </c>
      <c r="AS279" s="143" t="s">
        <v>4338</v>
      </c>
      <c r="AT279" s="98" t="s">
        <v>4338</v>
      </c>
      <c r="AU279" s="280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0"/>
        <v>63</v>
      </c>
      <c r="BD279" s="103" t="str">
        <f t="shared" si="31"/>
        <v>INDENIZAÇÃO</v>
      </c>
      <c r="BE279" s="103" t="str">
        <f t="shared" si="32"/>
        <v>NÃO</v>
      </c>
      <c r="BF279" s="112" t="s">
        <v>4357</v>
      </c>
      <c r="BG279" s="112" t="s">
        <v>4357</v>
      </c>
      <c r="BH279" s="112" t="s">
        <v>4357</v>
      </c>
      <c r="BI279" s="109" t="s">
        <v>5393</v>
      </c>
      <c r="BJ279" s="109"/>
      <c r="BK279" s="109"/>
      <c r="BL279" s="109"/>
      <c r="BM279" s="239"/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3">IF(AY280-KD280=0,"",AY280-O280)</f>
        <v/>
      </c>
      <c r="BD280" s="103" t="str">
        <f t="shared" ref="BD280:BD311" si="34">IF(AND(AI280&lt;&gt;"SIM",AI280="UH"),"AA","INDENIZAÇÃO")</f>
        <v>AA</v>
      </c>
      <c r="BE280" s="103" t="str">
        <f t="shared" ref="BE280:BE311" si="35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3"/>
        <v/>
      </c>
      <c r="BD281" s="103" t="str">
        <f t="shared" si="34"/>
        <v>AA</v>
      </c>
      <c r="BE281" s="103" t="str">
        <f t="shared" si="35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5611</v>
      </c>
      <c r="G282" s="103" t="s">
        <v>4330</v>
      </c>
      <c r="H282" s="103" t="s">
        <v>4331</v>
      </c>
      <c r="I282" s="142" t="s">
        <v>4343</v>
      </c>
      <c r="J282" s="149" t="s">
        <v>5614</v>
      </c>
      <c r="K282" s="149" t="s">
        <v>5615</v>
      </c>
      <c r="L282" s="149" t="s">
        <v>5616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5614</v>
      </c>
      <c r="AC282" s="104" t="s">
        <v>5615</v>
      </c>
      <c r="AD282" s="104" t="s">
        <v>5616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5617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106" t="s">
        <v>4453</v>
      </c>
      <c r="BA282" s="107" t="s">
        <v>4454</v>
      </c>
      <c r="BB282" s="136" t="s">
        <v>4338</v>
      </c>
      <c r="BC282" s="220">
        <f t="shared" si="33"/>
        <v>69</v>
      </c>
      <c r="BD282" s="103" t="str">
        <f t="shared" si="34"/>
        <v>INDENIZAÇÃO</v>
      </c>
      <c r="BE282" s="103" t="str">
        <f t="shared" si="35"/>
        <v>NÃO</v>
      </c>
      <c r="BF282" s="140" t="s">
        <v>4357</v>
      </c>
      <c r="BG282" s="140" t="s">
        <v>4357</v>
      </c>
      <c r="BH282" s="140" t="s">
        <v>4357</v>
      </c>
      <c r="BI282" s="154" t="s">
        <v>5393</v>
      </c>
      <c r="BJ282" s="154"/>
      <c r="BK282" s="154"/>
      <c r="BL282" s="154"/>
      <c r="BM282" s="237"/>
    </row>
    <row r="283" spans="1:67" s="232" customFormat="1" ht="29.25" customHeight="1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3"/>
        <v/>
      </c>
      <c r="BD283" s="103" t="str">
        <f t="shared" si="34"/>
        <v>INDENIZAÇÃO</v>
      </c>
      <c r="BE283" s="103" t="str">
        <f t="shared" si="35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3"/>
        <v/>
      </c>
      <c r="BD284" s="103" t="str">
        <f t="shared" si="34"/>
        <v>AA</v>
      </c>
      <c r="BE284" s="103" t="str">
        <f t="shared" si="35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3"/>
        <v/>
      </c>
      <c r="BD285" s="103" t="str">
        <f t="shared" si="34"/>
        <v>AA</v>
      </c>
      <c r="BE285" s="103" t="str">
        <f t="shared" si="35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5628</v>
      </c>
      <c r="G286" s="103" t="s">
        <v>4330</v>
      </c>
      <c r="H286" s="103" t="s">
        <v>4331</v>
      </c>
      <c r="I286" s="142" t="s">
        <v>4343</v>
      </c>
      <c r="J286" s="149" t="s">
        <v>5629</v>
      </c>
      <c r="K286" s="149" t="s">
        <v>5630</v>
      </c>
      <c r="L286" s="149" t="s">
        <v>5631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5629</v>
      </c>
      <c r="AC286" s="104" t="s">
        <v>5630</v>
      </c>
      <c r="AD286" s="104" t="s">
        <v>5631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5632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 t="shared" si="33"/>
        <v>97</v>
      </c>
      <c r="BD286" s="103" t="str">
        <f t="shared" si="34"/>
        <v>INDENIZAÇÃO</v>
      </c>
      <c r="BE286" s="103" t="str">
        <f t="shared" si="35"/>
        <v>NÃO</v>
      </c>
      <c r="BF286" s="140" t="s">
        <v>4357</v>
      </c>
      <c r="BG286" s="140" t="s">
        <v>4357</v>
      </c>
      <c r="BH286" s="140" t="s">
        <v>4357</v>
      </c>
      <c r="BI286" s="154" t="s">
        <v>5393</v>
      </c>
      <c r="BJ286" s="154"/>
      <c r="BK286" s="154"/>
      <c r="BL286" s="154"/>
      <c r="BM286" s="237"/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3"/>
        <v/>
      </c>
      <c r="BD287" s="103" t="str">
        <f t="shared" si="34"/>
        <v>AA</v>
      </c>
      <c r="BE287" s="103" t="str">
        <f t="shared" si="35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5636</v>
      </c>
      <c r="G288" s="103" t="s">
        <v>4330</v>
      </c>
      <c r="H288" s="103" t="s">
        <v>4331</v>
      </c>
      <c r="I288" s="142" t="s">
        <v>4343</v>
      </c>
      <c r="J288" s="149" t="s">
        <v>5637</v>
      </c>
      <c r="K288" s="149" t="s">
        <v>4432</v>
      </c>
      <c r="L288" s="149" t="s">
        <v>5638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5637</v>
      </c>
      <c r="AC288" s="104" t="s">
        <v>4432</v>
      </c>
      <c r="AD288" s="104" t="s">
        <v>5638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5639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 t="shared" si="33"/>
        <v>41</v>
      </c>
      <c r="BD288" s="103" t="str">
        <f t="shared" si="34"/>
        <v>INDENIZAÇÃO</v>
      </c>
      <c r="BE288" s="103" t="str">
        <f t="shared" si="35"/>
        <v>NÃO</v>
      </c>
      <c r="BF288" s="140" t="s">
        <v>4357</v>
      </c>
      <c r="BG288" s="140" t="s">
        <v>4357</v>
      </c>
      <c r="BH288" s="140" t="s">
        <v>4357</v>
      </c>
      <c r="BI288" s="154" t="s">
        <v>5393</v>
      </c>
      <c r="BJ288" s="154"/>
      <c r="BK288" s="154"/>
      <c r="BL288" s="154"/>
      <c r="BM288" s="237"/>
    </row>
    <row r="289" spans="1:75" s="232" customFormat="1" ht="29.25" customHeight="1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5640</v>
      </c>
      <c r="G289" s="103" t="s">
        <v>4330</v>
      </c>
      <c r="H289" s="103" t="s">
        <v>4331</v>
      </c>
      <c r="I289" s="142" t="s">
        <v>4343</v>
      </c>
      <c r="J289" s="149" t="s">
        <v>5641</v>
      </c>
      <c r="K289" s="149" t="s">
        <v>5642</v>
      </c>
      <c r="L289" s="149" t="s">
        <v>5643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5641</v>
      </c>
      <c r="AC289" s="104" t="s">
        <v>5642</v>
      </c>
      <c r="AD289" s="104" t="s">
        <v>5643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5644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 t="shared" si="33"/>
        <v>35</v>
      </c>
      <c r="BD289" s="103" t="str">
        <f t="shared" si="34"/>
        <v>INDENIZAÇÃO</v>
      </c>
      <c r="BE289" s="103" t="str">
        <f t="shared" si="35"/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3"/>
        <v/>
      </c>
      <c r="BD290" s="103" t="str">
        <f t="shared" si="34"/>
        <v>AA</v>
      </c>
      <c r="BE290" s="103" t="str">
        <f t="shared" si="35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3"/>
        <v/>
      </c>
      <c r="BD291" s="103" t="str">
        <f t="shared" si="34"/>
        <v>AA</v>
      </c>
      <c r="BE291" s="103" t="str">
        <f t="shared" si="35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5651</v>
      </c>
      <c r="G292" s="103" t="s">
        <v>4330</v>
      </c>
      <c r="H292" s="103" t="s">
        <v>4331</v>
      </c>
      <c r="I292" s="142" t="s">
        <v>4343</v>
      </c>
      <c r="J292" s="149" t="s">
        <v>5652</v>
      </c>
      <c r="K292" s="149" t="s">
        <v>5653</v>
      </c>
      <c r="L292" s="149" t="s">
        <v>5654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5652</v>
      </c>
      <c r="AC292" s="149" t="s">
        <v>5653</v>
      </c>
      <c r="AD292" s="149" t="s">
        <v>5654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5655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 t="shared" si="33"/>
        <v>42</v>
      </c>
      <c r="BD292" s="103" t="str">
        <f t="shared" si="34"/>
        <v>INDENIZAÇÃO</v>
      </c>
      <c r="BE292" s="103" t="str">
        <f t="shared" si="35"/>
        <v>NÃO</v>
      </c>
      <c r="BF292" s="140" t="s">
        <v>4357</v>
      </c>
      <c r="BG292" s="140" t="s">
        <v>4357</v>
      </c>
      <c r="BH292" s="140" t="s">
        <v>4357</v>
      </c>
      <c r="BI292" s="154" t="s">
        <v>5393</v>
      </c>
      <c r="BJ292" s="154"/>
      <c r="BK292" s="154"/>
      <c r="BL292" s="154"/>
      <c r="BM292" s="237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3"/>
        <v/>
      </c>
      <c r="BD293" s="103" t="str">
        <f t="shared" si="34"/>
        <v>AA</v>
      </c>
      <c r="BE293" s="103" t="str">
        <f t="shared" si="35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5660</v>
      </c>
      <c r="G294" s="103" t="s">
        <v>4330</v>
      </c>
      <c r="H294" s="103" t="s">
        <v>4331</v>
      </c>
      <c r="I294" s="142" t="s">
        <v>4343</v>
      </c>
      <c r="J294" s="149" t="s">
        <v>5661</v>
      </c>
      <c r="K294" s="149" t="s">
        <v>5662</v>
      </c>
      <c r="L294" s="149" t="s">
        <v>5663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5661</v>
      </c>
      <c r="AC294" s="104" t="s">
        <v>5662</v>
      </c>
      <c r="AD294" s="139" t="s">
        <v>5663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5664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 t="shared" si="33"/>
        <v>63</v>
      </c>
      <c r="BD294" s="103" t="str">
        <f t="shared" si="34"/>
        <v>INDENIZAÇÃO</v>
      </c>
      <c r="BE294" s="103" t="str">
        <f t="shared" si="35"/>
        <v>NÃO</v>
      </c>
      <c r="BF294" s="140" t="s">
        <v>4357</v>
      </c>
      <c r="BG294" s="140" t="s">
        <v>4357</v>
      </c>
      <c r="BH294" s="140" t="s">
        <v>4357</v>
      </c>
      <c r="BI294" s="154" t="s">
        <v>5393</v>
      </c>
      <c r="BJ294" s="154"/>
      <c r="BK294" s="154"/>
      <c r="BL294" s="154"/>
      <c r="BM294" s="237"/>
    </row>
    <row r="295" spans="1:75" s="232" customFormat="1" ht="29.25" customHeight="1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5665</v>
      </c>
      <c r="G295" s="103" t="s">
        <v>4330</v>
      </c>
      <c r="H295" s="103" t="s">
        <v>4331</v>
      </c>
      <c r="I295" s="142" t="s">
        <v>4343</v>
      </c>
      <c r="J295" s="114" t="s">
        <v>5666</v>
      </c>
      <c r="K295" s="149" t="s">
        <v>5667</v>
      </c>
      <c r="L295" s="149" t="s">
        <v>5668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5666</v>
      </c>
      <c r="AC295" s="114" t="s">
        <v>5667</v>
      </c>
      <c r="AD295" s="114" t="s">
        <v>5668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5669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 t="shared" si="33"/>
        <v>14</v>
      </c>
      <c r="BD295" s="103" t="str">
        <f t="shared" si="34"/>
        <v>INDENIZAÇÃO</v>
      </c>
      <c r="BE295" s="103" t="str">
        <f t="shared" si="35"/>
        <v>NÃO</v>
      </c>
      <c r="BF295" s="140" t="s">
        <v>4357</v>
      </c>
      <c r="BG295" s="140" t="s">
        <v>4357</v>
      </c>
      <c r="BH295" s="140" t="s">
        <v>4357</v>
      </c>
      <c r="BI295" s="154" t="s">
        <v>5393</v>
      </c>
      <c r="BJ295" s="154"/>
      <c r="BK295" s="154"/>
      <c r="BL295" s="154"/>
      <c r="BM295" s="237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3"/>
        <v/>
      </c>
      <c r="BD296" s="103" t="str">
        <f t="shared" si="34"/>
        <v>AA</v>
      </c>
      <c r="BE296" s="103" t="str">
        <f t="shared" si="35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3"/>
        <v/>
      </c>
      <c r="BD297" s="103" t="str">
        <f t="shared" si="34"/>
        <v>AA</v>
      </c>
      <c r="BE297" s="103" t="str">
        <f t="shared" si="35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3"/>
        <v/>
      </c>
      <c r="BD298" s="103" t="str">
        <f t="shared" si="34"/>
        <v>AA</v>
      </c>
      <c r="BE298" s="103" t="str">
        <f t="shared" si="35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5682</v>
      </c>
      <c r="G299" s="143" t="s">
        <v>4330</v>
      </c>
      <c r="H299" s="143" t="s">
        <v>4331</v>
      </c>
      <c r="I299" s="152" t="s">
        <v>4925</v>
      </c>
      <c r="J299" s="149" t="s">
        <v>5683</v>
      </c>
      <c r="K299" s="169" t="s">
        <v>5684</v>
      </c>
      <c r="L299" s="169" t="s">
        <v>5685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5686</v>
      </c>
      <c r="AC299" s="144" t="s">
        <v>5687</v>
      </c>
      <c r="AD299" s="144" t="s">
        <v>5688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5689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 t="shared" si="33"/>
        <v>147</v>
      </c>
      <c r="BD299" s="103" t="str">
        <f t="shared" si="34"/>
        <v>INDENIZAÇÃO</v>
      </c>
      <c r="BE299" s="103" t="str">
        <f t="shared" si="35"/>
        <v>NÃO</v>
      </c>
      <c r="BF299" s="140" t="s">
        <v>4357</v>
      </c>
      <c r="BG299" s="140" t="s">
        <v>4357</v>
      </c>
      <c r="BH299" s="140" t="s">
        <v>4357</v>
      </c>
      <c r="BI299" s="154" t="s">
        <v>5393</v>
      </c>
      <c r="BJ299" s="154"/>
      <c r="BK299" s="154"/>
      <c r="BL299" s="154"/>
      <c r="BM299" s="237"/>
    </row>
    <row r="300" spans="1:75" s="232" customFormat="1" ht="29.25" customHeight="1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5690</v>
      </c>
      <c r="G300" s="103" t="s">
        <v>4330</v>
      </c>
      <c r="H300" s="103" t="s">
        <v>4331</v>
      </c>
      <c r="I300" s="142" t="s">
        <v>4343</v>
      </c>
      <c r="J300" s="149" t="s">
        <v>5691</v>
      </c>
      <c r="K300" s="149" t="s">
        <v>5692</v>
      </c>
      <c r="L300" s="149" t="s">
        <v>5693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5691</v>
      </c>
      <c r="AC300" s="149" t="s">
        <v>5692</v>
      </c>
      <c r="AD300" s="149" t="s">
        <v>5693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5694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 t="shared" si="33"/>
        <v>25</v>
      </c>
      <c r="BD300" s="103" t="str">
        <f t="shared" si="34"/>
        <v>INDENIZAÇÃO</v>
      </c>
      <c r="BE300" s="103" t="str">
        <f t="shared" si="35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5695</v>
      </c>
      <c r="G301" s="103" t="s">
        <v>4351</v>
      </c>
      <c r="H301" s="103" t="s">
        <v>4351</v>
      </c>
      <c r="I301" s="153" t="s">
        <v>4332</v>
      </c>
      <c r="J301" s="149" t="s">
        <v>5696</v>
      </c>
      <c r="K301" s="149" t="s">
        <v>5697</v>
      </c>
      <c r="L301" s="149" t="s">
        <v>5698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5696</v>
      </c>
      <c r="AC301" s="149" t="s">
        <v>5697</v>
      </c>
      <c r="AD301" s="149" t="s">
        <v>5698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7" t="s">
        <v>5699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76" t="s">
        <v>4453</v>
      </c>
      <c r="AZ301" s="214"/>
      <c r="BA301" s="174" t="s">
        <v>4330</v>
      </c>
      <c r="BB301" s="136"/>
      <c r="BC301" s="220" t="e">
        <f t="shared" si="33"/>
        <v>#VALUE!</v>
      </c>
      <c r="BD301" s="103" t="str">
        <f t="shared" si="34"/>
        <v>INDENIZAÇÃO</v>
      </c>
      <c r="BE301" s="103" t="str">
        <f t="shared" si="35"/>
        <v>NÃO</v>
      </c>
      <c r="BF301" s="140"/>
      <c r="BG301" s="140"/>
      <c r="BH301" s="140"/>
      <c r="BI301" s="140"/>
      <c r="BJ301" s="140"/>
      <c r="BK301" s="140"/>
      <c r="BL301" s="140"/>
      <c r="BM301" s="238"/>
    </row>
    <row r="302" spans="1:75" s="232" customFormat="1" ht="29.25" customHeight="1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5700</v>
      </c>
      <c r="G302" s="103" t="s">
        <v>4330</v>
      </c>
      <c r="H302" s="103" t="s">
        <v>4331</v>
      </c>
      <c r="I302" s="246" t="s">
        <v>4343</v>
      </c>
      <c r="J302" s="149" t="s">
        <v>5701</v>
      </c>
      <c r="K302" s="149" t="s">
        <v>5702</v>
      </c>
      <c r="L302" s="149" t="s">
        <v>5703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5704</v>
      </c>
      <c r="AB302" s="149" t="s">
        <v>5701</v>
      </c>
      <c r="AC302" s="149" t="s">
        <v>5702</v>
      </c>
      <c r="AD302" s="149" t="s">
        <v>5703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5705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 t="shared" si="33"/>
        <v>58</v>
      </c>
      <c r="BD302" s="103" t="str">
        <f t="shared" si="34"/>
        <v>INDENIZAÇÃO</v>
      </c>
      <c r="BE302" s="103" t="str">
        <f t="shared" si="35"/>
        <v>NÃO</v>
      </c>
      <c r="BF302" s="140" t="s">
        <v>4357</v>
      </c>
      <c r="BG302" s="140" t="s">
        <v>4357</v>
      </c>
      <c r="BH302" s="140" t="s">
        <v>4357</v>
      </c>
      <c r="BI302" s="154" t="s">
        <v>5393</v>
      </c>
      <c r="BJ302" s="154"/>
      <c r="BK302" s="154"/>
      <c r="BL302" s="154"/>
      <c r="BM302" s="237"/>
    </row>
    <row r="303" spans="1:75" s="232" customFormat="1" ht="29.25" customHeight="1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142" t="s">
        <v>4925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5710</v>
      </c>
      <c r="AC303" s="149" t="s">
        <v>5711</v>
      </c>
      <c r="AD303" s="149" t="s">
        <v>5712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5713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 t="shared" si="33"/>
        <v>18</v>
      </c>
      <c r="BD303" s="103" t="str">
        <f t="shared" si="34"/>
        <v>INDENIZAÇÃO</v>
      </c>
      <c r="BE303" s="103" t="str">
        <f t="shared" si="35"/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customHeight="1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5714</v>
      </c>
      <c r="G304" s="103" t="s">
        <v>4351</v>
      </c>
      <c r="H304" s="103" t="s">
        <v>4351</v>
      </c>
      <c r="I304" s="153" t="s">
        <v>4332</v>
      </c>
      <c r="J304" s="149" t="s">
        <v>5715</v>
      </c>
      <c r="K304" s="149" t="s">
        <v>5716</v>
      </c>
      <c r="L304" s="149" t="s">
        <v>5717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5715</v>
      </c>
      <c r="AC304" s="149" t="s">
        <v>5716</v>
      </c>
      <c r="AD304" s="149" t="s">
        <v>5717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5718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 t="shared" si="33"/>
        <v>42</v>
      </c>
      <c r="BD304" s="103" t="str">
        <f t="shared" si="34"/>
        <v>INDENIZAÇÃO</v>
      </c>
      <c r="BE304" s="103" t="str">
        <f t="shared" si="35"/>
        <v>NÃO</v>
      </c>
      <c r="BF304" s="140" t="s">
        <v>4357</v>
      </c>
      <c r="BG304" s="140" t="s">
        <v>4357</v>
      </c>
      <c r="BH304" s="140" t="s">
        <v>4357</v>
      </c>
      <c r="BI304" s="154" t="s">
        <v>5393</v>
      </c>
      <c r="BJ304" s="154"/>
      <c r="BK304" s="154"/>
      <c r="BL304" s="154"/>
      <c r="BM304" s="237"/>
    </row>
    <row r="305" spans="1:65" s="232" customFormat="1" ht="29.25" customHeight="1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5719</v>
      </c>
      <c r="G305" s="103" t="s">
        <v>4330</v>
      </c>
      <c r="H305" s="103" t="s">
        <v>4331</v>
      </c>
      <c r="I305" s="246" t="s">
        <v>4343</v>
      </c>
      <c r="J305" s="149" t="s">
        <v>5720</v>
      </c>
      <c r="K305" s="149" t="s">
        <v>5721</v>
      </c>
      <c r="L305" s="149" t="s">
        <v>5722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5720</v>
      </c>
      <c r="AC305" s="149" t="s">
        <v>5721</v>
      </c>
      <c r="AD305" s="149" t="s">
        <v>5722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5723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 t="shared" si="33"/>
        <v>25</v>
      </c>
      <c r="BD305" s="103" t="str">
        <f t="shared" si="34"/>
        <v>INDENIZAÇÃO</v>
      </c>
      <c r="BE305" s="103" t="str">
        <f t="shared" si="35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5724</v>
      </c>
      <c r="G306" s="103" t="s">
        <v>4330</v>
      </c>
      <c r="H306" s="103" t="s">
        <v>4331</v>
      </c>
      <c r="I306" s="142" t="s">
        <v>4343</v>
      </c>
      <c r="J306" s="149" t="s">
        <v>5725</v>
      </c>
      <c r="K306" s="149" t="s">
        <v>5726</v>
      </c>
      <c r="L306" s="149" t="s">
        <v>5727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5725</v>
      </c>
      <c r="AC306" s="149" t="s">
        <v>5726</v>
      </c>
      <c r="AD306" s="149" t="s">
        <v>5727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5728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 t="shared" si="33"/>
        <v>14</v>
      </c>
      <c r="BD306" s="103" t="str">
        <f t="shared" si="34"/>
        <v>INDENIZAÇÃO</v>
      </c>
      <c r="BE306" s="103" t="str">
        <f t="shared" si="35"/>
        <v>NÃO</v>
      </c>
      <c r="BF306" s="140" t="s">
        <v>4357</v>
      </c>
      <c r="BG306" s="140" t="s">
        <v>4357</v>
      </c>
      <c r="BH306" s="140" t="s">
        <v>4357</v>
      </c>
      <c r="BI306" s="154" t="s">
        <v>5393</v>
      </c>
      <c r="BJ306" s="154"/>
      <c r="BK306" s="154"/>
      <c r="BL306" s="154"/>
      <c r="BM306" s="237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3"/>
        <v/>
      </c>
      <c r="BD307" s="103" t="str">
        <f t="shared" si="34"/>
        <v>AA</v>
      </c>
      <c r="BE307" s="103" t="str">
        <f t="shared" si="35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5733</v>
      </c>
      <c r="G308" s="103" t="s">
        <v>4330</v>
      </c>
      <c r="H308" s="103" t="s">
        <v>4331</v>
      </c>
      <c r="I308" s="142" t="s">
        <v>4343</v>
      </c>
      <c r="J308" s="149" t="s">
        <v>5734</v>
      </c>
      <c r="K308" s="149" t="s">
        <v>5735</v>
      </c>
      <c r="L308" s="149" t="s">
        <v>5736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5734</v>
      </c>
      <c r="AC308" s="104" t="s">
        <v>5735</v>
      </c>
      <c r="AD308" s="104" t="s">
        <v>5736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5737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 t="shared" si="33"/>
        <v>69</v>
      </c>
      <c r="BD308" s="103" t="str">
        <f t="shared" si="34"/>
        <v>INDENIZAÇÃO</v>
      </c>
      <c r="BE308" s="103" t="str">
        <f t="shared" si="35"/>
        <v>NÃO</v>
      </c>
      <c r="BF308" s="140" t="s">
        <v>4357</v>
      </c>
      <c r="BG308" s="140" t="s">
        <v>4357</v>
      </c>
      <c r="BH308" s="140" t="s">
        <v>4357</v>
      </c>
      <c r="BI308" s="154" t="s">
        <v>5393</v>
      </c>
      <c r="BJ308" s="154"/>
      <c r="BK308" s="154"/>
      <c r="BL308" s="154"/>
      <c r="BM308" s="237"/>
    </row>
    <row r="309" spans="1:65" s="232" customFormat="1" ht="29.25" customHeight="1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5738</v>
      </c>
      <c r="G309" s="103" t="s">
        <v>4330</v>
      </c>
      <c r="H309" s="103" t="s">
        <v>4331</v>
      </c>
      <c r="I309" s="142" t="s">
        <v>4343</v>
      </c>
      <c r="J309" s="149" t="s">
        <v>5739</v>
      </c>
      <c r="K309" s="149" t="s">
        <v>5740</v>
      </c>
      <c r="L309" s="149" t="s">
        <v>5741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5739</v>
      </c>
      <c r="AC309" s="104" t="s">
        <v>5740</v>
      </c>
      <c r="AD309" s="104" t="s">
        <v>5741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5742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 t="shared" si="33"/>
        <v>23</v>
      </c>
      <c r="BD309" s="103" t="str">
        <f t="shared" si="34"/>
        <v>INDENIZAÇÃO</v>
      </c>
      <c r="BE309" s="103" t="str">
        <f t="shared" si="35"/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customHeight="1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5743</v>
      </c>
      <c r="G310" s="103" t="s">
        <v>4330</v>
      </c>
      <c r="H310" s="103" t="s">
        <v>4331</v>
      </c>
      <c r="I310" s="142" t="s">
        <v>4343</v>
      </c>
      <c r="J310" s="149" t="s">
        <v>5744</v>
      </c>
      <c r="K310" s="149" t="s">
        <v>5745</v>
      </c>
      <c r="L310" s="149" t="s">
        <v>5746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5744</v>
      </c>
      <c r="AC310" s="104" t="s">
        <v>4432</v>
      </c>
      <c r="AD310" s="104" t="s">
        <v>5746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5747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3"/>
        <v>38</v>
      </c>
      <c r="BD310" s="103" t="str">
        <f t="shared" si="34"/>
        <v>INDENIZAÇÃO</v>
      </c>
      <c r="BE310" s="103" t="str">
        <f t="shared" si="35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5748</v>
      </c>
      <c r="G311" s="103" t="s">
        <v>4330</v>
      </c>
      <c r="H311" s="103" t="s">
        <v>4331</v>
      </c>
      <c r="I311" s="142" t="s">
        <v>4343</v>
      </c>
      <c r="J311" s="149" t="s">
        <v>5749</v>
      </c>
      <c r="K311" s="149" t="s">
        <v>5750</v>
      </c>
      <c r="L311" s="149" t="s">
        <v>5751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5749</v>
      </c>
      <c r="AC311" s="104" t="s">
        <v>5750</v>
      </c>
      <c r="AD311" s="104" t="s">
        <v>5751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5752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 t="shared" si="33"/>
        <v>35</v>
      </c>
      <c r="BD311" s="103" t="str">
        <f t="shared" si="34"/>
        <v>INDENIZAÇÃO</v>
      </c>
      <c r="BE311" s="103" t="str">
        <f t="shared" si="35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customHeight="1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6">IF(AY312-KD312=0,"",AY312-O312)</f>
        <v/>
      </c>
      <c r="BD312" s="103" t="str">
        <f t="shared" ref="BD312:BD318" si="37">IF(AND(AI312&lt;&gt;"SIM",AI312="UH"),"AA","INDENIZAÇÃO")</f>
        <v>AA</v>
      </c>
      <c r="BE312" s="103" t="str">
        <f t="shared" ref="BE312:BE318" si="38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6"/>
        <v/>
      </c>
      <c r="BD313" s="103" t="str">
        <f t="shared" si="37"/>
        <v>INDENIZAÇÃO</v>
      </c>
      <c r="BE313" s="103" t="str">
        <f t="shared" si="38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6"/>
        <v/>
      </c>
      <c r="BD314" s="103" t="str">
        <f t="shared" si="37"/>
        <v>AA</v>
      </c>
      <c r="BE314" s="103" t="str">
        <f t="shared" si="38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6"/>
        <v/>
      </c>
      <c r="BD315" s="103" t="str">
        <f t="shared" si="37"/>
        <v>AA</v>
      </c>
      <c r="BE315" s="103" t="str">
        <f t="shared" si="38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5768</v>
      </c>
      <c r="G316" s="103" t="s">
        <v>4330</v>
      </c>
      <c r="H316" s="103" t="s">
        <v>4331</v>
      </c>
      <c r="I316" s="142" t="s">
        <v>4343</v>
      </c>
      <c r="J316" s="149" t="s">
        <v>5769</v>
      </c>
      <c r="K316" s="149" t="s">
        <v>5770</v>
      </c>
      <c r="L316" s="149" t="s">
        <v>5771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5769</v>
      </c>
      <c r="AC316" s="104" t="s">
        <v>5770</v>
      </c>
      <c r="AD316" s="104" t="s">
        <v>5771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5772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 t="shared" si="36"/>
        <v>63</v>
      </c>
      <c r="BD316" s="103" t="str">
        <f t="shared" si="37"/>
        <v>INDENIZAÇÃO</v>
      </c>
      <c r="BE316" s="103" t="str">
        <f t="shared" si="38"/>
        <v>NÃO</v>
      </c>
      <c r="BF316" s="140" t="s">
        <v>4357</v>
      </c>
      <c r="BG316" s="140" t="s">
        <v>4357</v>
      </c>
      <c r="BH316" s="140" t="s">
        <v>4357</v>
      </c>
      <c r="BI316" s="154" t="s">
        <v>5393</v>
      </c>
      <c r="BJ316" s="154"/>
      <c r="BK316" s="154"/>
      <c r="BL316" s="154"/>
      <c r="BM316" s="237"/>
    </row>
    <row r="317" spans="1:65" s="232" customFormat="1" ht="29.25" customHeight="1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6"/>
        <v/>
      </c>
      <c r="BD317" s="103" t="str">
        <f t="shared" si="37"/>
        <v>AA</v>
      </c>
      <c r="BE317" s="103" t="str">
        <f t="shared" si="38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6"/>
        <v/>
      </c>
      <c r="BD318" s="103" t="str">
        <f t="shared" si="37"/>
        <v>AA</v>
      </c>
      <c r="BE318" s="103" t="str">
        <f t="shared" si="38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39">IF(AY321-KD321=0,"",AY321-O321)</f>
        <v/>
      </c>
      <c r="BD321" s="103" t="str">
        <f t="shared" ref="BD321:BD328" si="40">IF(AND(AI321&lt;&gt;"SIM",AI321="UH"),"AA","INDENIZAÇÃO")</f>
        <v>AA</v>
      </c>
      <c r="BE321" s="103" t="str">
        <f t="shared" ref="BE321:BE328" si="41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5787</v>
      </c>
      <c r="G322" s="103" t="s">
        <v>4330</v>
      </c>
      <c r="H322" s="103" t="s">
        <v>4331</v>
      </c>
      <c r="I322" s="103" t="s">
        <v>4343</v>
      </c>
      <c r="J322" s="149" t="s">
        <v>5791</v>
      </c>
      <c r="K322" s="149" t="s">
        <v>5792</v>
      </c>
      <c r="L322" s="149" t="s">
        <v>5793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5791</v>
      </c>
      <c r="AC322" s="149" t="s">
        <v>5792</v>
      </c>
      <c r="AD322" s="149" t="s">
        <v>5793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5794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06">
        <v>46196</v>
      </c>
      <c r="AZ322" s="106" t="s">
        <v>4453</v>
      </c>
      <c r="BA322" s="107" t="s">
        <v>4454</v>
      </c>
      <c r="BB322" s="112" t="s">
        <v>4338</v>
      </c>
      <c r="BC322" s="220">
        <f t="shared" si="39"/>
        <v>84</v>
      </c>
      <c r="BD322" s="103" t="str">
        <f t="shared" si="40"/>
        <v>INDENIZAÇÃO</v>
      </c>
      <c r="BE322" s="103" t="str">
        <f t="shared" si="41"/>
        <v>NÃO</v>
      </c>
      <c r="BF322" s="112" t="s">
        <v>4357</v>
      </c>
      <c r="BG322" s="112" t="s">
        <v>4357</v>
      </c>
      <c r="BH322" s="112" t="s">
        <v>4357</v>
      </c>
      <c r="BI322" s="109" t="s">
        <v>5393</v>
      </c>
      <c r="BJ322" s="109"/>
      <c r="BK322" s="109"/>
      <c r="BL322" s="109"/>
      <c r="BM322" s="239"/>
    </row>
    <row r="323" spans="1:67" s="232" customFormat="1" ht="29.25" customHeight="1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5787</v>
      </c>
      <c r="G323" s="103" t="s">
        <v>4330</v>
      </c>
      <c r="H323" s="103" t="s">
        <v>4331</v>
      </c>
      <c r="I323" s="142" t="s">
        <v>4343</v>
      </c>
      <c r="J323" s="149" t="s">
        <v>5795</v>
      </c>
      <c r="K323" s="149" t="s">
        <v>5796</v>
      </c>
      <c r="L323" s="149" t="s">
        <v>5797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5795</v>
      </c>
      <c r="AC323" s="149" t="s">
        <v>5796</v>
      </c>
      <c r="AD323" s="149" t="s">
        <v>5797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7" t="s">
        <v>5798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76" t="s">
        <v>4453</v>
      </c>
      <c r="AZ323" s="157"/>
      <c r="BA323" s="109" t="s">
        <v>4330</v>
      </c>
      <c r="BB323" s="112"/>
      <c r="BC323" s="220" t="e">
        <f t="shared" si="39"/>
        <v>#VALUE!</v>
      </c>
      <c r="BD323" s="103" t="str">
        <f t="shared" si="40"/>
        <v>INDENIZAÇÃO</v>
      </c>
      <c r="BE323" s="103" t="str">
        <f t="shared" si="41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39"/>
        <v/>
      </c>
      <c r="BD324" s="103" t="str">
        <f t="shared" si="40"/>
        <v>AA</v>
      </c>
      <c r="BE324" s="103" t="str">
        <f t="shared" si="41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39"/>
        <v/>
      </c>
      <c r="BD325" s="103" t="str">
        <f t="shared" si="40"/>
        <v>AA</v>
      </c>
      <c r="BE325" s="103" t="str">
        <f t="shared" si="41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5802</v>
      </c>
      <c r="G326" s="103" t="s">
        <v>4330</v>
      </c>
      <c r="H326" s="103" t="s">
        <v>4331</v>
      </c>
      <c r="I326" s="103" t="s">
        <v>4343</v>
      </c>
      <c r="J326" s="149" t="s">
        <v>5806</v>
      </c>
      <c r="K326" s="149" t="s">
        <v>5807</v>
      </c>
      <c r="L326" s="149" t="s">
        <v>5808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5806</v>
      </c>
      <c r="AC326" s="149" t="s">
        <v>5807</v>
      </c>
      <c r="AD326" s="149" t="s">
        <v>5808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5809</v>
      </c>
      <c r="AQ326" s="98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 t="shared" si="39"/>
        <v>48</v>
      </c>
      <c r="BD326" s="103" t="str">
        <f t="shared" si="40"/>
        <v>INDENIZAÇÃO</v>
      </c>
      <c r="BE326" s="103" t="str">
        <f t="shared" si="41"/>
        <v>NÃO</v>
      </c>
      <c r="BF326" s="112" t="s">
        <v>4357</v>
      </c>
      <c r="BG326" s="112" t="s">
        <v>4357</v>
      </c>
      <c r="BH326" s="112" t="s">
        <v>4357</v>
      </c>
      <c r="BI326" s="109" t="s">
        <v>5393</v>
      </c>
      <c r="BJ326" s="109"/>
      <c r="BK326" s="109"/>
      <c r="BL326" s="109"/>
      <c r="BM326" s="239"/>
    </row>
    <row r="327" spans="1:67" s="232" customFormat="1" ht="29.25" customHeight="1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5810</v>
      </c>
      <c r="G327" s="103" t="s">
        <v>4330</v>
      </c>
      <c r="H327" s="103" t="s">
        <v>4331</v>
      </c>
      <c r="I327" s="142" t="s">
        <v>4343</v>
      </c>
      <c r="J327" s="149" t="s">
        <v>5811</v>
      </c>
      <c r="K327" s="149" t="s">
        <v>4432</v>
      </c>
      <c r="L327" s="149" t="s">
        <v>5812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5811</v>
      </c>
      <c r="AC327" s="149" t="s">
        <v>4432</v>
      </c>
      <c r="AD327" s="149" t="s">
        <v>5812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5813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 t="shared" si="39"/>
        <v>62</v>
      </c>
      <c r="BD327" s="103" t="str">
        <f t="shared" si="40"/>
        <v>INDENIZAÇÃO</v>
      </c>
      <c r="BE327" s="103" t="str">
        <f t="shared" si="41"/>
        <v>NÃO</v>
      </c>
      <c r="BF327" s="112" t="s">
        <v>4357</v>
      </c>
      <c r="BG327" s="112" t="s">
        <v>4357</v>
      </c>
      <c r="BH327" s="112" t="s">
        <v>4357</v>
      </c>
      <c r="BI327" s="109" t="s">
        <v>5393</v>
      </c>
      <c r="BJ327" s="109"/>
      <c r="BK327" s="109"/>
      <c r="BL327" s="109"/>
      <c r="BM327" s="239"/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39"/>
        <v/>
      </c>
      <c r="BD328" s="103" t="str">
        <f t="shared" si="40"/>
        <v>AA</v>
      </c>
      <c r="BE328" s="103" t="str">
        <f t="shared" si="41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2">IF(AY330-KD330=0,"",AY330-O330)</f>
        <v/>
      </c>
      <c r="BD330" s="103" t="str">
        <f t="shared" ref="BD330:BD361" si="43">IF(AND(AI330&lt;&gt;"SIM",AI330="UH"),"AA","INDENIZAÇÃO")</f>
        <v>AA</v>
      </c>
      <c r="BE330" s="103" t="str">
        <f t="shared" ref="BE330:BE361" si="44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5820</v>
      </c>
      <c r="G331" s="103" t="s">
        <v>4330</v>
      </c>
      <c r="H331" s="103" t="s">
        <v>4331</v>
      </c>
      <c r="I331" s="103" t="s">
        <v>4343</v>
      </c>
      <c r="J331" s="149" t="s">
        <v>5824</v>
      </c>
      <c r="K331" s="149" t="s">
        <v>5825</v>
      </c>
      <c r="L331" s="149" t="s">
        <v>5826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5824</v>
      </c>
      <c r="AC331" s="149" t="s">
        <v>5825</v>
      </c>
      <c r="AD331" s="149" t="s">
        <v>5826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5827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 t="shared" si="42"/>
        <v>71</v>
      </c>
      <c r="BD331" s="103" t="str">
        <f t="shared" si="43"/>
        <v>INDENIZAÇÃO</v>
      </c>
      <c r="BE331" s="103" t="str">
        <f t="shared" si="44"/>
        <v>NÃO</v>
      </c>
      <c r="BF331" s="250" t="s">
        <v>4357</v>
      </c>
      <c r="BG331" s="250" t="s">
        <v>4357</v>
      </c>
      <c r="BH331" s="250" t="s">
        <v>4357</v>
      </c>
      <c r="BI331" s="251" t="s">
        <v>5393</v>
      </c>
      <c r="BJ331" s="154"/>
      <c r="BK331" s="154"/>
      <c r="BL331" s="154"/>
      <c r="BM331" s="237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5828</v>
      </c>
      <c r="G333" s="103" t="s">
        <v>4351</v>
      </c>
      <c r="H333" s="103" t="s">
        <v>4351</v>
      </c>
      <c r="I333" s="153" t="s">
        <v>4332</v>
      </c>
      <c r="J333" s="149" t="s">
        <v>5832</v>
      </c>
      <c r="K333" s="149" t="s">
        <v>5833</v>
      </c>
      <c r="L333" s="149" t="s">
        <v>5834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5832</v>
      </c>
      <c r="AC333" s="149" t="s">
        <v>5833</v>
      </c>
      <c r="AD333" s="149" t="s">
        <v>5834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 t="shared" si="42"/>
        <v>49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5844</v>
      </c>
      <c r="G336" s="103" t="s">
        <v>4330</v>
      </c>
      <c r="H336" s="103" t="s">
        <v>4331</v>
      </c>
      <c r="I336" s="142" t="s">
        <v>4343</v>
      </c>
      <c r="J336" s="149" t="s">
        <v>5845</v>
      </c>
      <c r="K336" s="149" t="s">
        <v>5846</v>
      </c>
      <c r="L336" s="149" t="s">
        <v>5847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5845</v>
      </c>
      <c r="AC336" s="149" t="s">
        <v>5846</v>
      </c>
      <c r="AD336" s="149" t="s">
        <v>5847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5848</v>
      </c>
      <c r="AQ336" s="98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 t="shared" si="42"/>
        <v>38</v>
      </c>
      <c r="BD336" s="103" t="str">
        <f t="shared" si="43"/>
        <v>INDENIZAÇÃO</v>
      </c>
      <c r="BE336" s="103" t="str">
        <f t="shared" si="44"/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5852</v>
      </c>
      <c r="G338" s="103" t="s">
        <v>4330</v>
      </c>
      <c r="H338" s="103" t="s">
        <v>4331</v>
      </c>
      <c r="I338" s="142" t="s">
        <v>4343</v>
      </c>
      <c r="J338" s="149" t="s">
        <v>5853</v>
      </c>
      <c r="K338" s="149" t="s">
        <v>5854</v>
      </c>
      <c r="L338" s="149" t="s">
        <v>5855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5853</v>
      </c>
      <c r="AC338" s="149" t="s">
        <v>5854</v>
      </c>
      <c r="AD338" s="149" t="s">
        <v>5855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5856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 t="shared" si="42"/>
        <v>77</v>
      </c>
      <c r="BD338" s="103" t="str">
        <f t="shared" si="43"/>
        <v>INDENIZAÇÃO</v>
      </c>
      <c r="BE338" s="103" t="str">
        <f t="shared" si="44"/>
        <v>NÃO</v>
      </c>
      <c r="BF338" s="140" t="s">
        <v>4357</v>
      </c>
      <c r="BG338" s="140" t="s">
        <v>4357</v>
      </c>
      <c r="BH338" s="140" t="s">
        <v>4357</v>
      </c>
      <c r="BI338" s="154" t="s">
        <v>5393</v>
      </c>
      <c r="BJ338" s="154"/>
      <c r="BK338" s="154"/>
      <c r="BL338" s="154"/>
      <c r="BM338" s="237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5875</v>
      </c>
      <c r="G344" s="103" t="s">
        <v>4330</v>
      </c>
      <c r="H344" s="103" t="s">
        <v>4331</v>
      </c>
      <c r="I344" s="142" t="s">
        <v>4343</v>
      </c>
      <c r="J344" s="149" t="s">
        <v>5876</v>
      </c>
      <c r="K344" s="149" t="s">
        <v>5877</v>
      </c>
      <c r="L344" s="149" t="s">
        <v>5878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5876</v>
      </c>
      <c r="AC344" s="149" t="s">
        <v>5877</v>
      </c>
      <c r="AD344" s="149" t="s">
        <v>5878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5879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 t="shared" si="42"/>
        <v>23</v>
      </c>
      <c r="BD344" s="103" t="str">
        <f t="shared" si="43"/>
        <v>INDENIZAÇÃO</v>
      </c>
      <c r="BE344" s="103" t="str">
        <f t="shared" si="44"/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5883</v>
      </c>
      <c r="G346" s="103" t="s">
        <v>4330</v>
      </c>
      <c r="H346" s="103" t="s">
        <v>4331</v>
      </c>
      <c r="I346" s="142" t="s">
        <v>4343</v>
      </c>
      <c r="J346" s="149" t="s">
        <v>5884</v>
      </c>
      <c r="K346" s="149" t="s">
        <v>5885</v>
      </c>
      <c r="L346" s="149" t="s">
        <v>5886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5884</v>
      </c>
      <c r="AC346" s="149" t="s">
        <v>5885</v>
      </c>
      <c r="AD346" s="149" t="s">
        <v>5886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5887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 t="shared" si="42"/>
        <v>65</v>
      </c>
      <c r="BD346" s="103" t="str">
        <f t="shared" si="43"/>
        <v>INDENIZAÇÃO</v>
      </c>
      <c r="BE346" s="103" t="str">
        <f t="shared" si="44"/>
        <v>NÃO</v>
      </c>
      <c r="BF346" s="140" t="s">
        <v>4357</v>
      </c>
      <c r="BG346" s="140" t="s">
        <v>4357</v>
      </c>
      <c r="BH346" s="140" t="s">
        <v>4357</v>
      </c>
      <c r="BI346" s="154" t="s">
        <v>5393</v>
      </c>
      <c r="BJ346" s="154"/>
      <c r="BK346" s="154"/>
      <c r="BL346" s="154"/>
      <c r="BM346" s="237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5907</v>
      </c>
      <c r="G353" s="103" t="s">
        <v>4330</v>
      </c>
      <c r="H353" s="103" t="s">
        <v>4331</v>
      </c>
      <c r="I353" s="142" t="s">
        <v>4343</v>
      </c>
      <c r="J353" s="149" t="s">
        <v>5908</v>
      </c>
      <c r="K353" s="149" t="s">
        <v>5909</v>
      </c>
      <c r="L353" s="149" t="s">
        <v>5910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5908</v>
      </c>
      <c r="AC353" s="149" t="s">
        <v>5909</v>
      </c>
      <c r="AD353" s="149" t="s">
        <v>5910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5911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 t="shared" si="42"/>
        <v>37</v>
      </c>
      <c r="BD353" s="103" t="str">
        <f t="shared" si="43"/>
        <v>INDENIZAÇÃO</v>
      </c>
      <c r="BE353" s="103" t="str">
        <f t="shared" si="44"/>
        <v>NÃO</v>
      </c>
      <c r="BF353" s="140" t="s">
        <v>4357</v>
      </c>
      <c r="BG353" s="140" t="s">
        <v>4357</v>
      </c>
      <c r="BH353" s="140" t="s">
        <v>4357</v>
      </c>
      <c r="BI353" s="154" t="s">
        <v>5393</v>
      </c>
      <c r="BJ353" s="154"/>
      <c r="BK353" s="154"/>
      <c r="BL353" s="154"/>
      <c r="BM353" s="237"/>
    </row>
    <row r="354" spans="1:67" s="232" customFormat="1" ht="29.25" customHeight="1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5912</v>
      </c>
      <c r="G354" s="103" t="s">
        <v>4330</v>
      </c>
      <c r="H354" s="103" t="s">
        <v>4331</v>
      </c>
      <c r="I354" s="142" t="s">
        <v>4343</v>
      </c>
      <c r="J354" s="149" t="s">
        <v>5913</v>
      </c>
      <c r="K354" s="149" t="s">
        <v>5914</v>
      </c>
      <c r="L354" s="149" t="s">
        <v>5915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5913</v>
      </c>
      <c r="AC354" s="149" t="s">
        <v>4432</v>
      </c>
      <c r="AD354" s="149" t="s">
        <v>5915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5916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 t="shared" si="42"/>
        <v>64</v>
      </c>
      <c r="BD354" s="103" t="str">
        <f t="shared" si="43"/>
        <v>INDENIZAÇÃO</v>
      </c>
      <c r="BE354" s="103" t="str">
        <f t="shared" si="44"/>
        <v>NÃO</v>
      </c>
      <c r="BF354" s="140" t="s">
        <v>4357</v>
      </c>
      <c r="BG354" s="140" t="s">
        <v>4357</v>
      </c>
      <c r="BH354" s="140" t="s">
        <v>4357</v>
      </c>
      <c r="BI354" s="154" t="s">
        <v>5393</v>
      </c>
      <c r="BJ354" s="154"/>
      <c r="BK354" s="154"/>
      <c r="BL354" s="154"/>
      <c r="BM354" s="237"/>
    </row>
    <row r="355" spans="1:67" s="232" customFormat="1" ht="29.25" customHeight="1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5917</v>
      </c>
      <c r="G355" s="103" t="s">
        <v>4330</v>
      </c>
      <c r="H355" s="103" t="s">
        <v>4331</v>
      </c>
      <c r="I355" s="142" t="s">
        <v>4343</v>
      </c>
      <c r="J355" s="149" t="s">
        <v>5918</v>
      </c>
      <c r="K355" s="149" t="s">
        <v>5919</v>
      </c>
      <c r="L355" s="149" t="s">
        <v>5920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5918</v>
      </c>
      <c r="AC355" s="149" t="s">
        <v>5919</v>
      </c>
      <c r="AD355" s="149" t="s">
        <v>5920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5921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 t="shared" si="42"/>
        <v>23</v>
      </c>
      <c r="BD355" s="103" t="str">
        <f t="shared" si="43"/>
        <v>INDENIZAÇÃO</v>
      </c>
      <c r="BE355" s="103" t="str">
        <f t="shared" si="44"/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customHeight="1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2"/>
        <v/>
      </c>
      <c r="BD356" s="103" t="str">
        <f t="shared" si="43"/>
        <v>AA</v>
      </c>
      <c r="BE356" s="103" t="str">
        <f t="shared" si="44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2"/>
        <v/>
      </c>
      <c r="BD357" s="103" t="str">
        <f t="shared" si="43"/>
        <v>AA</v>
      </c>
      <c r="BE357" s="103" t="str">
        <f t="shared" si="44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5930</v>
      </c>
      <c r="G358" s="103" t="s">
        <v>4330</v>
      </c>
      <c r="H358" s="103" t="s">
        <v>4331</v>
      </c>
      <c r="I358" s="142" t="s">
        <v>4440</v>
      </c>
      <c r="J358" s="149" t="s">
        <v>5931</v>
      </c>
      <c r="K358" s="149" t="s">
        <v>5932</v>
      </c>
      <c r="L358" s="149" t="s">
        <v>5933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5934</v>
      </c>
      <c r="AC358" s="149" t="s">
        <v>5935</v>
      </c>
      <c r="AD358" s="149" t="s">
        <v>5936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5937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 t="shared" si="42"/>
        <v>38</v>
      </c>
      <c r="BD358" s="103" t="str">
        <f t="shared" si="43"/>
        <v>INDENIZAÇÃO</v>
      </c>
      <c r="BE358" s="103" t="str">
        <f t="shared" si="44"/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customHeight="1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2"/>
        <v/>
      </c>
      <c r="BD359" s="103" t="str">
        <f t="shared" si="43"/>
        <v>INDENIZAÇÃO</v>
      </c>
      <c r="BE359" s="103" t="str">
        <f t="shared" si="44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5946</v>
      </c>
      <c r="G360" s="103" t="s">
        <v>4330</v>
      </c>
      <c r="H360" s="103" t="s">
        <v>4331</v>
      </c>
      <c r="I360" s="142" t="s">
        <v>4343</v>
      </c>
      <c r="J360" s="149" t="s">
        <v>5947</v>
      </c>
      <c r="K360" s="149" t="s">
        <v>5948</v>
      </c>
      <c r="L360" s="149" t="s">
        <v>5949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5947</v>
      </c>
      <c r="AC360" s="149" t="s">
        <v>5948</v>
      </c>
      <c r="AD360" s="149" t="s">
        <v>5949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5950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 t="shared" si="42"/>
        <v>55</v>
      </c>
      <c r="BD360" s="103" t="str">
        <f t="shared" si="43"/>
        <v>INDENIZAÇÃO</v>
      </c>
      <c r="BE360" s="103" t="str">
        <f t="shared" si="44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5951</v>
      </c>
      <c r="G361" s="103" t="s">
        <v>4330</v>
      </c>
      <c r="H361" s="103" t="s">
        <v>4331</v>
      </c>
      <c r="I361" s="142" t="s">
        <v>4343</v>
      </c>
      <c r="J361" s="149" t="s">
        <v>5952</v>
      </c>
      <c r="K361" s="149" t="s">
        <v>5953</v>
      </c>
      <c r="L361" s="149" t="s">
        <v>5954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5952</v>
      </c>
      <c r="AC361" s="149" t="s">
        <v>5953</v>
      </c>
      <c r="AD361" s="149" t="s">
        <v>5954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5955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 t="shared" si="42"/>
        <v>23</v>
      </c>
      <c r="BD361" s="103" t="str">
        <f t="shared" si="43"/>
        <v>INDENIZAÇÃO</v>
      </c>
      <c r="BE361" s="103" t="str">
        <f t="shared" si="44"/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customHeight="1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5">IF(AY362-KD362=0,"",AY362-O362)</f>
        <v/>
      </c>
      <c r="BD362" s="103" t="str">
        <f t="shared" ref="BD362:BD382" si="46">IF(AND(AI362&lt;&gt;"SIM",AI362="UH"),"AA","INDENIZAÇÃO")</f>
        <v>AA</v>
      </c>
      <c r="BE362" s="103" t="str">
        <f t="shared" ref="BE362:BE382" si="47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5960</v>
      </c>
      <c r="G363" s="103" t="s">
        <v>4330</v>
      </c>
      <c r="H363" s="103" t="s">
        <v>4331</v>
      </c>
      <c r="I363" s="142" t="s">
        <v>4343</v>
      </c>
      <c r="J363" s="149" t="s">
        <v>5961</v>
      </c>
      <c r="K363" s="149" t="s">
        <v>5962</v>
      </c>
      <c r="L363" s="149" t="s">
        <v>5963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5961</v>
      </c>
      <c r="AC363" s="149" t="s">
        <v>5962</v>
      </c>
      <c r="AD363" s="149" t="s">
        <v>5963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5964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 t="shared" si="45"/>
        <v>41</v>
      </c>
      <c r="BD363" s="103" t="str">
        <f t="shared" si="46"/>
        <v>INDENIZAÇÃO</v>
      </c>
      <c r="BE363" s="103" t="str">
        <f t="shared" si="47"/>
        <v>NÃO</v>
      </c>
      <c r="BF363" s="140" t="s">
        <v>4357</v>
      </c>
      <c r="BG363" s="140" t="s">
        <v>4357</v>
      </c>
      <c r="BH363" s="140" t="s">
        <v>4357</v>
      </c>
      <c r="BI363" s="154" t="s">
        <v>5393</v>
      </c>
      <c r="BJ363" s="154"/>
      <c r="BK363" s="154"/>
      <c r="BL363" s="154"/>
      <c r="BM363" s="237"/>
    </row>
    <row r="364" spans="1:67" s="232" customFormat="1" ht="29.25" customHeight="1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5965</v>
      </c>
      <c r="G364" s="103" t="s">
        <v>4330</v>
      </c>
      <c r="H364" s="103" t="s">
        <v>4331</v>
      </c>
      <c r="I364" s="142" t="s">
        <v>4343</v>
      </c>
      <c r="J364" s="149" t="s">
        <v>5966</v>
      </c>
      <c r="K364" s="149" t="s">
        <v>5967</v>
      </c>
      <c r="L364" s="149" t="s">
        <v>5968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5966</v>
      </c>
      <c r="AC364" s="149" t="s">
        <v>5967</v>
      </c>
      <c r="AD364" s="149" t="s">
        <v>5968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5969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 t="shared" si="45"/>
        <v>23</v>
      </c>
      <c r="BD364" s="103" t="str">
        <f t="shared" si="46"/>
        <v>INDENIZAÇÃO</v>
      </c>
      <c r="BE364" s="103" t="str">
        <f t="shared" si="47"/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customHeight="1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5970</v>
      </c>
      <c r="G365" s="103" t="s">
        <v>4330</v>
      </c>
      <c r="H365" s="103" t="s">
        <v>4331</v>
      </c>
      <c r="I365" s="142" t="s">
        <v>4343</v>
      </c>
      <c r="J365" s="149" t="s">
        <v>5971</v>
      </c>
      <c r="K365" s="149" t="s">
        <v>5972</v>
      </c>
      <c r="L365" s="149" t="s">
        <v>5973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5971</v>
      </c>
      <c r="AC365" s="149" t="s">
        <v>5972</v>
      </c>
      <c r="AD365" s="149" t="s">
        <v>5973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5974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 t="shared" si="45"/>
        <v>94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09" t="s">
        <v>5393</v>
      </c>
      <c r="BJ365" s="109"/>
      <c r="BK365" s="109"/>
      <c r="BL365" s="109"/>
      <c r="BM365" s="239"/>
    </row>
    <row r="366" spans="1:67" s="232" customFormat="1" ht="29.25" customHeight="1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5975</v>
      </c>
      <c r="G366" s="103" t="s">
        <v>4330</v>
      </c>
      <c r="H366" s="103" t="s">
        <v>4331</v>
      </c>
      <c r="I366" s="142" t="s">
        <v>4343</v>
      </c>
      <c r="J366" s="149" t="s">
        <v>5976</v>
      </c>
      <c r="K366" s="149" t="s">
        <v>5977</v>
      </c>
      <c r="L366" s="149" t="s">
        <v>5978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5976</v>
      </c>
      <c r="AC366" s="149" t="s">
        <v>5977</v>
      </c>
      <c r="AD366" s="149" t="s">
        <v>5978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5979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98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 t="shared" si="45"/>
        <v>94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09" t="s">
        <v>5393</v>
      </c>
      <c r="BJ366" s="109"/>
      <c r="BK366" s="109"/>
      <c r="BL366" s="109"/>
      <c r="BM366" s="239"/>
    </row>
    <row r="367" spans="1:67" s="232" customFormat="1" ht="29.25" customHeight="1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5988</v>
      </c>
      <c r="G369" s="103" t="s">
        <v>4330</v>
      </c>
      <c r="H369" s="103" t="s">
        <v>4352</v>
      </c>
      <c r="I369" s="142" t="s">
        <v>4343</v>
      </c>
      <c r="J369" s="149" t="s">
        <v>5989</v>
      </c>
      <c r="K369" s="149" t="s">
        <v>5990</v>
      </c>
      <c r="L369" s="149" t="s">
        <v>5991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5989</v>
      </c>
      <c r="AC369" s="149" t="s">
        <v>5990</v>
      </c>
      <c r="AD369" s="149" t="s">
        <v>5991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5992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 t="shared" si="45"/>
        <v>28</v>
      </c>
      <c r="BD369" s="103" t="str">
        <f t="shared" si="46"/>
        <v>INDENIZAÇÃO</v>
      </c>
      <c r="BE369" s="103" t="str">
        <f t="shared" si="47"/>
        <v>NÃO</v>
      </c>
      <c r="BF369" s="140" t="s">
        <v>4357</v>
      </c>
      <c r="BG369" s="140" t="s">
        <v>4357</v>
      </c>
      <c r="BH369" s="140" t="s">
        <v>4357</v>
      </c>
      <c r="BI369" s="154" t="s">
        <v>5393</v>
      </c>
      <c r="BJ369" s="154"/>
      <c r="BK369" s="154"/>
      <c r="BL369" s="154"/>
      <c r="BM369" s="237"/>
    </row>
    <row r="370" spans="1:67" s="232" customFormat="1" ht="29.25" customHeight="1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5993</v>
      </c>
      <c r="G370" s="103" t="s">
        <v>4330</v>
      </c>
      <c r="H370" s="103" t="s">
        <v>4331</v>
      </c>
      <c r="I370" s="142" t="s">
        <v>4343</v>
      </c>
      <c r="J370" s="149" t="s">
        <v>5994</v>
      </c>
      <c r="K370" s="149" t="s">
        <v>5995</v>
      </c>
      <c r="L370" s="149" t="s">
        <v>5996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5994</v>
      </c>
      <c r="AC370" s="149" t="s">
        <v>5995</v>
      </c>
      <c r="AD370" s="149" t="s">
        <v>5996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5997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 t="shared" si="45"/>
        <v>115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5998</v>
      </c>
      <c r="G371" s="103" t="s">
        <v>4330</v>
      </c>
      <c r="H371" s="103" t="s">
        <v>4331</v>
      </c>
      <c r="I371" s="142" t="s">
        <v>4343</v>
      </c>
      <c r="J371" s="149" t="s">
        <v>5999</v>
      </c>
      <c r="K371" s="149" t="s">
        <v>6000</v>
      </c>
      <c r="L371" s="149" t="s">
        <v>6001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5999</v>
      </c>
      <c r="AC371" s="149" t="s">
        <v>6000</v>
      </c>
      <c r="AD371" s="149" t="s">
        <v>6001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 t="shared" si="45"/>
        <v>80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9" t="s">
        <v>5393</v>
      </c>
      <c r="BJ371" s="109"/>
      <c r="BK371" s="109"/>
      <c r="BL371" s="109"/>
      <c r="BM371" s="239"/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6003</v>
      </c>
      <c r="G372" s="103" t="s">
        <v>4330</v>
      </c>
      <c r="H372" s="103" t="s">
        <v>4331</v>
      </c>
      <c r="I372" s="142" t="s">
        <v>4343</v>
      </c>
      <c r="J372" s="149" t="s">
        <v>6004</v>
      </c>
      <c r="K372" s="149" t="s">
        <v>6005</v>
      </c>
      <c r="L372" s="149" t="s">
        <v>6006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6004</v>
      </c>
      <c r="AC372" s="149" t="s">
        <v>6005</v>
      </c>
      <c r="AD372" s="149" t="s">
        <v>6006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6007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 t="shared" si="45"/>
        <v>23</v>
      </c>
      <c r="BD372" s="103" t="str">
        <f t="shared" si="46"/>
        <v>INDENIZAÇÃO</v>
      </c>
      <c r="BE372" s="103" t="str">
        <f t="shared" si="47"/>
        <v>NÃO</v>
      </c>
      <c r="BF372" s="140" t="s">
        <v>4357</v>
      </c>
      <c r="BG372" s="140" t="s">
        <v>4357</v>
      </c>
      <c r="BH372" s="140" t="s">
        <v>4357</v>
      </c>
      <c r="BI372" s="154" t="s">
        <v>5393</v>
      </c>
      <c r="BJ372" s="154"/>
      <c r="BK372" s="154"/>
      <c r="BL372" s="154"/>
      <c r="BM372" s="237"/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6012</v>
      </c>
      <c r="G374" s="103" t="s">
        <v>4330</v>
      </c>
      <c r="H374" s="103" t="s">
        <v>4331</v>
      </c>
      <c r="I374" s="142" t="s">
        <v>4343</v>
      </c>
      <c r="J374" s="149" t="s">
        <v>6013</v>
      </c>
      <c r="K374" s="149" t="s">
        <v>6014</v>
      </c>
      <c r="L374" s="149" t="s">
        <v>6015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6013</v>
      </c>
      <c r="AC374" s="149" t="s">
        <v>6014</v>
      </c>
      <c r="AD374" s="149" t="s">
        <v>6015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6016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 t="shared" si="45"/>
        <v>61</v>
      </c>
      <c r="BD374" s="103" t="str">
        <f t="shared" si="46"/>
        <v>INDENIZAÇÃO</v>
      </c>
      <c r="BE374" s="103" t="str">
        <f t="shared" si="47"/>
        <v>NÃO</v>
      </c>
      <c r="BF374" s="140" t="s">
        <v>4357</v>
      </c>
      <c r="BG374" s="140" t="s">
        <v>4357</v>
      </c>
      <c r="BH374" s="140" t="s">
        <v>4357</v>
      </c>
      <c r="BI374" s="154" t="s">
        <v>5393</v>
      </c>
      <c r="BJ374" s="154"/>
      <c r="BK374" s="154"/>
      <c r="BL374" s="154"/>
      <c r="BM374" s="237"/>
    </row>
    <row r="375" spans="1:67" s="232" customFormat="1" ht="29.25" customHeight="1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6017</v>
      </c>
      <c r="G375" s="103" t="s">
        <v>4330</v>
      </c>
      <c r="H375" s="103" t="s">
        <v>4331</v>
      </c>
      <c r="I375" s="142" t="s">
        <v>4343</v>
      </c>
      <c r="J375" s="149" t="s">
        <v>6018</v>
      </c>
      <c r="K375" s="149" t="s">
        <v>6019</v>
      </c>
      <c r="L375" s="149" t="s">
        <v>6020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6018</v>
      </c>
      <c r="AC375" s="149" t="s">
        <v>6019</v>
      </c>
      <c r="AD375" s="149" t="s">
        <v>6020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6021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 t="shared" si="45"/>
        <v>68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09" t="s">
        <v>5393</v>
      </c>
      <c r="BJ375" s="109"/>
      <c r="BK375" s="109"/>
      <c r="BL375" s="109"/>
      <c r="BM375" s="239"/>
    </row>
    <row r="376" spans="1:67" s="232" customFormat="1" ht="29.25" customHeight="1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6022</v>
      </c>
      <c r="G376" s="103" t="s">
        <v>4330</v>
      </c>
      <c r="H376" s="103" t="s">
        <v>4331</v>
      </c>
      <c r="I376" s="142" t="s">
        <v>4343</v>
      </c>
      <c r="J376" s="149" t="s">
        <v>6023</v>
      </c>
      <c r="K376" s="149" t="s">
        <v>6024</v>
      </c>
      <c r="L376" s="149" t="s">
        <v>6025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6023</v>
      </c>
      <c r="AC376" s="149" t="s">
        <v>6024</v>
      </c>
      <c r="AD376" s="149" t="s">
        <v>6025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6026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 t="shared" si="45"/>
        <v>23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6036</v>
      </c>
      <c r="G379" s="103" t="s">
        <v>4330</v>
      </c>
      <c r="H379" s="103" t="s">
        <v>4331</v>
      </c>
      <c r="I379" s="142" t="s">
        <v>4440</v>
      </c>
      <c r="J379" s="149" t="s">
        <v>6037</v>
      </c>
      <c r="K379" s="149" t="s">
        <v>6038</v>
      </c>
      <c r="L379" s="149" t="s">
        <v>6039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6040</v>
      </c>
      <c r="AC379" s="149">
        <v>50431772</v>
      </c>
      <c r="AD379" s="149" t="s">
        <v>6041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6042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 t="shared" si="45"/>
        <v>40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customHeight="1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6043</v>
      </c>
      <c r="G380" s="103" t="s">
        <v>4330</v>
      </c>
      <c r="H380" s="103" t="s">
        <v>4331</v>
      </c>
      <c r="I380" s="142" t="s">
        <v>4343</v>
      </c>
      <c r="J380" s="149" t="s">
        <v>6044</v>
      </c>
      <c r="K380" s="149" t="s">
        <v>6045</v>
      </c>
      <c r="L380" s="149" t="s">
        <v>6046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6044</v>
      </c>
      <c r="AC380" s="149" t="s">
        <v>6045</v>
      </c>
      <c r="AD380" s="149" t="s">
        <v>6046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6047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 t="shared" si="45"/>
        <v>80</v>
      </c>
      <c r="BD380" s="103" t="str">
        <f t="shared" si="46"/>
        <v>INDENIZAÇÃO</v>
      </c>
      <c r="BE380" s="103" t="str">
        <f t="shared" si="47"/>
        <v>NÃO</v>
      </c>
      <c r="BF380" s="112" t="s">
        <v>4357</v>
      </c>
      <c r="BG380" s="112" t="s">
        <v>4357</v>
      </c>
      <c r="BH380" s="112" t="s">
        <v>4357</v>
      </c>
      <c r="BI380" s="109" t="s">
        <v>5393</v>
      </c>
      <c r="BJ380" s="109"/>
      <c r="BK380" s="109"/>
      <c r="BL380" s="109"/>
      <c r="BM380" s="239"/>
    </row>
    <row r="381" spans="1:67" s="232" customFormat="1" ht="29.25" customHeight="1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6048</v>
      </c>
      <c r="G381" s="103" t="s">
        <v>4330</v>
      </c>
      <c r="H381" s="103" t="s">
        <v>4331</v>
      </c>
      <c r="I381" s="142" t="s">
        <v>4343</v>
      </c>
      <c r="J381" s="149" t="s">
        <v>6049</v>
      </c>
      <c r="K381" s="149" t="s">
        <v>6050</v>
      </c>
      <c r="L381" s="149" t="s">
        <v>6051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6049</v>
      </c>
      <c r="AC381" s="149" t="s">
        <v>6050</v>
      </c>
      <c r="AD381" s="149" t="s">
        <v>6052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6053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 t="shared" si="45"/>
        <v>37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54" t="s">
        <v>5393</v>
      </c>
      <c r="BJ381" s="154"/>
      <c r="BK381" s="154"/>
      <c r="BL381" s="154"/>
      <c r="BM381" s="237"/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6062</v>
      </c>
      <c r="G384" s="103" t="s">
        <v>4330</v>
      </c>
      <c r="H384" s="103" t="s">
        <v>4331</v>
      </c>
      <c r="I384" s="142" t="s">
        <v>4343</v>
      </c>
      <c r="J384" s="149" t="s">
        <v>6063</v>
      </c>
      <c r="K384" s="149" t="s">
        <v>6064</v>
      </c>
      <c r="L384" s="149" t="s">
        <v>6065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6063</v>
      </c>
      <c r="AC384" s="149" t="s">
        <v>6064</v>
      </c>
      <c r="AD384" s="149" t="s">
        <v>6065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7" t="s">
        <v>6066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12" t="s">
        <v>4338</v>
      </c>
      <c r="AW384" s="109" t="s">
        <v>4453</v>
      </c>
      <c r="AX384" s="106"/>
      <c r="AY384" s="106"/>
      <c r="AZ384" s="106"/>
      <c r="BA384" s="107" t="s">
        <v>4330</v>
      </c>
      <c r="BB384" s="136"/>
      <c r="BC384" s="220" t="str">
        <f t="shared" ref="BC384:BC405" si="48">IF(AY384-KD384=0,"",AY384-O384)</f>
        <v/>
      </c>
      <c r="BD384" s="103" t="str">
        <f t="shared" ref="BD384:BD405" si="49">IF(AND(AI384&lt;&gt;"SIM",AI384="UH"),"AA","INDENIZAÇÃO")</f>
        <v>INDENIZAÇÃO</v>
      </c>
      <c r="BE384" s="103" t="str">
        <f t="shared" ref="BE384:BE405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6067</v>
      </c>
      <c r="G385" s="103" t="s">
        <v>4330</v>
      </c>
      <c r="H385" s="103" t="s">
        <v>4331</v>
      </c>
      <c r="I385" s="142" t="s">
        <v>4343</v>
      </c>
      <c r="J385" s="149" t="s">
        <v>6068</v>
      </c>
      <c r="K385" s="149" t="s">
        <v>6069</v>
      </c>
      <c r="L385" s="149" t="s">
        <v>6070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6068</v>
      </c>
      <c r="AC385" s="149" t="s">
        <v>6069</v>
      </c>
      <c r="AD385" s="149" t="s">
        <v>6070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6071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 t="shared" si="48"/>
        <v>95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09" t="s">
        <v>5393</v>
      </c>
      <c r="BJ385" s="109"/>
      <c r="BK385" s="109"/>
      <c r="BL385" s="109"/>
      <c r="BM385" s="239"/>
    </row>
    <row r="386" spans="1:65" s="232" customFormat="1" ht="29.25" customHeight="1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6072</v>
      </c>
      <c r="G386" s="103" t="s">
        <v>4330</v>
      </c>
      <c r="H386" s="103" t="s">
        <v>4331</v>
      </c>
      <c r="I386" s="142" t="s">
        <v>4343</v>
      </c>
      <c r="J386" s="149" t="s">
        <v>6073</v>
      </c>
      <c r="K386" s="149" t="s">
        <v>6074</v>
      </c>
      <c r="L386" s="149" t="s">
        <v>6075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6073</v>
      </c>
      <c r="AC386" s="149" t="s">
        <v>6074</v>
      </c>
      <c r="AD386" s="149" t="s">
        <v>6075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6076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 t="shared" si="48"/>
        <v>116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09" t="s">
        <v>5393</v>
      </c>
      <c r="BJ386" s="109"/>
      <c r="BK386" s="109"/>
      <c r="BL386" s="109"/>
      <c r="BM386" s="239"/>
    </row>
    <row r="387" spans="1:65" s="232" customFormat="1" ht="29.25" customHeight="1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42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6078</v>
      </c>
      <c r="AC387" s="149" t="s">
        <v>6079</v>
      </c>
      <c r="AD387" s="149" t="s">
        <v>6080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7" t="s">
        <v>6081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12" t="s">
        <v>4338</v>
      </c>
      <c r="AW387" s="109" t="s">
        <v>4453</v>
      </c>
      <c r="AX387" s="109"/>
      <c r="AY387" s="157"/>
      <c r="AZ387" s="157"/>
      <c r="BA387" s="109" t="s">
        <v>4330</v>
      </c>
      <c r="BB387" s="136"/>
      <c r="BC387" s="220" t="str">
        <f t="shared" si="48"/>
        <v/>
      </c>
      <c r="BD387" s="103" t="str">
        <f t="shared" si="49"/>
        <v>INDENIZAÇÃO</v>
      </c>
      <c r="BE387" s="103" t="str">
        <f t="shared" si="50"/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customHeight="1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6085</v>
      </c>
      <c r="G389" s="103" t="s">
        <v>4330</v>
      </c>
      <c r="H389" s="103" t="s">
        <v>4331</v>
      </c>
      <c r="I389" s="142" t="s">
        <v>4343</v>
      </c>
      <c r="J389" s="149" t="s">
        <v>6086</v>
      </c>
      <c r="K389" s="149" t="s">
        <v>6087</v>
      </c>
      <c r="L389" s="149" t="s">
        <v>6088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6086</v>
      </c>
      <c r="AC389" s="149" t="s">
        <v>6087</v>
      </c>
      <c r="AD389" s="149" t="s">
        <v>6088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6089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 t="shared" si="48"/>
        <v>65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54" t="s">
        <v>5393</v>
      </c>
      <c r="BJ389" s="154"/>
      <c r="BK389" s="154"/>
      <c r="BL389" s="154"/>
      <c r="BM389" s="237"/>
    </row>
    <row r="390" spans="1:65" s="232" customFormat="1" ht="29.25" customHeight="1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6090</v>
      </c>
      <c r="G390" s="103" t="s">
        <v>4330</v>
      </c>
      <c r="H390" s="103" t="s">
        <v>4331</v>
      </c>
      <c r="I390" s="142" t="s">
        <v>4343</v>
      </c>
      <c r="J390" s="149" t="s">
        <v>6091</v>
      </c>
      <c r="K390" s="149" t="s">
        <v>6092</v>
      </c>
      <c r="L390" s="149" t="s">
        <v>6093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6091</v>
      </c>
      <c r="AC390" s="149" t="s">
        <v>6092</v>
      </c>
      <c r="AD390" s="149" t="s">
        <v>6093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6094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 t="shared" si="48"/>
        <v>20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customHeight="1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>
        <v>383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4459</v>
      </c>
      <c r="O392" s="105" t="s">
        <v>6103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A392" s="103"/>
      <c r="AB392" s="149" t="s">
        <v>6100</v>
      </c>
      <c r="AC392" s="149" t="s">
        <v>6101</v>
      </c>
      <c r="AD392" s="149" t="s">
        <v>6102</v>
      </c>
      <c r="AE392" s="142" t="s">
        <v>6104</v>
      </c>
      <c r="AF392" s="103" t="s">
        <v>4333</v>
      </c>
      <c r="AG392" s="194">
        <v>29342.82</v>
      </c>
      <c r="AH392" s="194">
        <v>59342.82</v>
      </c>
      <c r="AI392" s="103" t="s">
        <v>4447</v>
      </c>
      <c r="AJ392" s="104" t="s">
        <v>4438</v>
      </c>
      <c r="AK392" s="103">
        <v>160441925</v>
      </c>
      <c r="AL392" s="103" t="s">
        <v>4337</v>
      </c>
      <c r="AM392" s="103" t="s">
        <v>4338</v>
      </c>
      <c r="AN392" s="103" t="s">
        <v>4368</v>
      </c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 t="shared" si="48"/>
        <v/>
      </c>
      <c r="BD392" s="103" t="str">
        <f t="shared" si="49"/>
        <v>INDENIZAÇÃO</v>
      </c>
      <c r="BE392" s="103" t="str">
        <f t="shared" si="50"/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384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6105</v>
      </c>
      <c r="G393" s="103" t="s">
        <v>4330</v>
      </c>
      <c r="H393" s="103" t="s">
        <v>4331</v>
      </c>
      <c r="I393" s="142" t="s">
        <v>4343</v>
      </c>
      <c r="J393" s="149" t="s">
        <v>6106</v>
      </c>
      <c r="K393" s="149" t="s">
        <v>4457</v>
      </c>
      <c r="L393" s="149" t="s">
        <v>6107</v>
      </c>
      <c r="M393" s="103" t="s">
        <v>4333</v>
      </c>
      <c r="N393" s="103" t="s">
        <v>4459</v>
      </c>
      <c r="O393" s="105" t="s">
        <v>6103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6106</v>
      </c>
      <c r="AC393" s="149" t="s">
        <v>4457</v>
      </c>
      <c r="AD393" s="149" t="s">
        <v>6107</v>
      </c>
      <c r="AE393" s="142" t="s">
        <v>6104</v>
      </c>
      <c r="AF393" s="103" t="s">
        <v>5044</v>
      </c>
      <c r="AG393" s="194">
        <v>18978.2</v>
      </c>
      <c r="AH393" s="194">
        <v>48978.2</v>
      </c>
      <c r="AI393" s="103" t="s">
        <v>4447</v>
      </c>
      <c r="AJ393" s="104" t="s">
        <v>4438</v>
      </c>
      <c r="AK393" s="103">
        <v>160442023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si="48"/>
        <v/>
      </c>
      <c r="BD393" s="103" t="str">
        <f t="shared" si="49"/>
        <v>INDENIZAÇÃO</v>
      </c>
      <c r="BE393" s="103" t="str">
        <f t="shared" si="50"/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385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6108</v>
      </c>
      <c r="G394" s="103" t="s">
        <v>4330</v>
      </c>
      <c r="H394" s="103" t="s">
        <v>4331</v>
      </c>
      <c r="I394" s="142" t="s">
        <v>4343</v>
      </c>
      <c r="J394" s="149" t="s">
        <v>6109</v>
      </c>
      <c r="K394" s="149" t="s">
        <v>6110</v>
      </c>
      <c r="L394" s="149" t="s">
        <v>6111</v>
      </c>
      <c r="M394" s="103" t="s">
        <v>4333</v>
      </c>
      <c r="N394" s="103" t="s">
        <v>4345</v>
      </c>
      <c r="O394" s="105"/>
      <c r="P394" s="105">
        <v>46084</v>
      </c>
      <c r="Q394" s="105" t="s">
        <v>4436</v>
      </c>
      <c r="R394" s="105">
        <v>46083</v>
      </c>
      <c r="S394" s="108">
        <v>46084</v>
      </c>
      <c r="T394" s="108">
        <v>46087</v>
      </c>
      <c r="U394" s="108">
        <v>46090</v>
      </c>
      <c r="V394" s="105" t="s">
        <v>4437</v>
      </c>
      <c r="W394" s="105" t="s">
        <v>4437</v>
      </c>
      <c r="X394" s="105">
        <v>46101</v>
      </c>
      <c r="Y394" s="105" t="s">
        <v>4457</v>
      </c>
      <c r="Z394" s="105"/>
      <c r="AA394" s="142" t="s">
        <v>5867</v>
      </c>
      <c r="AB394" s="149" t="s">
        <v>6109</v>
      </c>
      <c r="AC394" s="149" t="s">
        <v>6110</v>
      </c>
      <c r="AD394" s="149" t="s">
        <v>6111</v>
      </c>
      <c r="AE394" s="103" t="s">
        <v>4343</v>
      </c>
      <c r="AF394" s="103" t="s">
        <v>4333</v>
      </c>
      <c r="AG394" s="194" t="s">
        <v>4356</v>
      </c>
      <c r="AH394" s="194" t="s">
        <v>4356</v>
      </c>
      <c r="AI394" s="103" t="s">
        <v>4355</v>
      </c>
      <c r="AJ394" s="104" t="s">
        <v>4438</v>
      </c>
      <c r="AK394" s="103"/>
      <c r="AL394" s="103"/>
      <c r="AM394" s="103"/>
      <c r="AN394" s="103"/>
      <c r="AO394" s="103"/>
      <c r="AP394" s="171"/>
      <c r="AQ394" s="103"/>
      <c r="AR394" s="103"/>
      <c r="AS394" s="103"/>
      <c r="AT394" s="267"/>
      <c r="AU394" s="106"/>
      <c r="AV394" s="112"/>
      <c r="AW394" s="107"/>
      <c r="AX394" s="107"/>
      <c r="AY394" s="166"/>
      <c r="AZ394" s="106"/>
      <c r="BA394" s="107"/>
      <c r="BB394" s="136"/>
      <c r="BC394" s="220" t="str">
        <f t="shared" si="48"/>
        <v/>
      </c>
      <c r="BD394" s="103" t="str">
        <f t="shared" si="49"/>
        <v>AA</v>
      </c>
      <c r="BE394" s="103" t="str">
        <f t="shared" si="50"/>
        <v>NÃO</v>
      </c>
      <c r="BF394" s="140"/>
      <c r="BG394" s="140"/>
      <c r="BH394" s="140"/>
      <c r="BI394" s="140"/>
      <c r="BJ394" s="140"/>
      <c r="BK394" s="140"/>
      <c r="BL394" s="140"/>
      <c r="BM394" s="238"/>
    </row>
    <row r="395" spans="1:65" s="232" customFormat="1" ht="29.25" customHeight="1">
      <c r="A395" s="103">
        <v>386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4459</v>
      </c>
      <c r="O395" s="105">
        <v>45996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/>
      <c r="AH395" s="194"/>
      <c r="AI395" s="103"/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103"/>
      <c r="AU395" s="105"/>
      <c r="AV395" s="112"/>
      <c r="AW395" s="103"/>
      <c r="AX395" s="105"/>
      <c r="AY395" s="166"/>
      <c r="AZ395" s="105"/>
      <c r="BA395" s="103"/>
      <c r="BB395" s="136"/>
      <c r="BC395" s="220" t="str">
        <f t="shared" si="48"/>
        <v/>
      </c>
      <c r="BD395" s="103" t="str">
        <f t="shared" si="49"/>
        <v>INDENIZAÇÃO</v>
      </c>
      <c r="BE395" s="103" t="str">
        <f t="shared" si="50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387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4351</v>
      </c>
      <c r="H396" s="103" t="s">
        <v>4351</v>
      </c>
      <c r="I396" s="153" t="s">
        <v>4332</v>
      </c>
      <c r="J396" s="149" t="s">
        <v>6117</v>
      </c>
      <c r="K396" s="149" t="s">
        <v>4432</v>
      </c>
      <c r="L396" s="149" t="s">
        <v>6118</v>
      </c>
      <c r="M396" s="103" t="s">
        <v>4333</v>
      </c>
      <c r="N396" s="103" t="s">
        <v>4459</v>
      </c>
      <c r="O396" s="105"/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5"/>
      <c r="AB396" s="149" t="s">
        <v>6117</v>
      </c>
      <c r="AC396" s="149" t="s">
        <v>4432</v>
      </c>
      <c r="AD396" s="149" t="s">
        <v>6118</v>
      </c>
      <c r="AE396" s="153" t="s">
        <v>4332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48"/>
        <v/>
      </c>
      <c r="BD396" s="103" t="str">
        <f t="shared" si="49"/>
        <v>INDENIZAÇÃO</v>
      </c>
      <c r="BE396" s="103" t="str">
        <f t="shared" si="50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388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6119</v>
      </c>
      <c r="G397" s="103" t="s">
        <v>4330</v>
      </c>
      <c r="H397" s="103" t="s">
        <v>4331</v>
      </c>
      <c r="I397" s="246" t="s">
        <v>4440</v>
      </c>
      <c r="J397" s="149" t="s">
        <v>6120</v>
      </c>
      <c r="K397" s="149" t="s">
        <v>6121</v>
      </c>
      <c r="L397" s="149" t="s">
        <v>6122</v>
      </c>
      <c r="M397" s="103" t="s">
        <v>4333</v>
      </c>
      <c r="N397" s="103" t="s">
        <v>4345</v>
      </c>
      <c r="O397" s="105">
        <v>45996</v>
      </c>
      <c r="P397" s="105">
        <v>46002</v>
      </c>
      <c r="Q397" s="105" t="s">
        <v>4436</v>
      </c>
      <c r="R397" s="105">
        <v>45999</v>
      </c>
      <c r="S397" s="105">
        <v>46006</v>
      </c>
      <c r="T397" s="105">
        <v>46006</v>
      </c>
      <c r="U397" s="105">
        <v>46009</v>
      </c>
      <c r="V397" s="105" t="s">
        <v>4437</v>
      </c>
      <c r="W397" s="105" t="s">
        <v>4437</v>
      </c>
      <c r="X397" s="105">
        <v>46014</v>
      </c>
      <c r="Y397" s="206" t="s">
        <v>4457</v>
      </c>
      <c r="Z397" s="105"/>
      <c r="AA397" s="142" t="s">
        <v>6123</v>
      </c>
      <c r="AB397" s="149" t="s">
        <v>6124</v>
      </c>
      <c r="AC397" s="149" t="s">
        <v>4457</v>
      </c>
      <c r="AD397" s="149" t="s">
        <v>4457</v>
      </c>
      <c r="AE397" s="142" t="s">
        <v>4332</v>
      </c>
      <c r="AF397" s="103" t="s">
        <v>4344</v>
      </c>
      <c r="AG397" s="194" t="s">
        <v>4356</v>
      </c>
      <c r="AH397" s="194" t="s">
        <v>4356</v>
      </c>
      <c r="AI397" s="103" t="s">
        <v>4363</v>
      </c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8"/>
        <v/>
      </c>
      <c r="BD397" s="103" t="str">
        <f t="shared" si="49"/>
        <v>INDENIZAÇÃO</v>
      </c>
      <c r="BE397" s="103" t="str">
        <f t="shared" si="50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65">
        <v>389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6125</v>
      </c>
      <c r="G398" s="103" t="s">
        <v>4330</v>
      </c>
      <c r="H398" s="103" t="s">
        <v>4331</v>
      </c>
      <c r="I398" s="142" t="s">
        <v>4343</v>
      </c>
      <c r="J398" s="149" t="s">
        <v>6126</v>
      </c>
      <c r="K398" s="149">
        <v>33837673</v>
      </c>
      <c r="L398" s="149" t="s">
        <v>6127</v>
      </c>
      <c r="M398" s="103" t="s">
        <v>4333</v>
      </c>
      <c r="N398" s="103" t="s">
        <v>4459</v>
      </c>
      <c r="O398" s="105">
        <v>45996</v>
      </c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3"/>
      <c r="AB398" s="149" t="s">
        <v>6126</v>
      </c>
      <c r="AC398" s="149">
        <v>33837673</v>
      </c>
      <c r="AD398" s="149" t="s">
        <v>6127</v>
      </c>
      <c r="AE398" s="103" t="s">
        <v>4343</v>
      </c>
      <c r="AF398" s="103" t="s">
        <v>4333</v>
      </c>
      <c r="AG398" s="194">
        <v>68165.39</v>
      </c>
      <c r="AH398" s="194">
        <v>68165.39</v>
      </c>
      <c r="AI398" s="103" t="s">
        <v>4336</v>
      </c>
      <c r="AJ398" s="104" t="s">
        <v>4438</v>
      </c>
      <c r="AK398" s="103">
        <v>147057729</v>
      </c>
      <c r="AL398" s="103" t="s">
        <v>4338</v>
      </c>
      <c r="AM398" s="103" t="s">
        <v>4338</v>
      </c>
      <c r="AN398" s="103" t="s">
        <v>4339</v>
      </c>
      <c r="AO398" s="103"/>
      <c r="AP398" s="171" t="s">
        <v>6128</v>
      </c>
      <c r="AQ398" s="98" t="s">
        <v>4338</v>
      </c>
      <c r="AR398" s="103" t="s">
        <v>4338</v>
      </c>
      <c r="AS398" s="103" t="s">
        <v>4338</v>
      </c>
      <c r="AT398" s="103" t="s">
        <v>4338</v>
      </c>
      <c r="AU398" s="105">
        <v>46009</v>
      </c>
      <c r="AV398" s="112" t="s">
        <v>4338</v>
      </c>
      <c r="AW398" s="103" t="s">
        <v>4338</v>
      </c>
      <c r="AX398" s="111">
        <v>46021</v>
      </c>
      <c r="AY398" s="106">
        <v>46021</v>
      </c>
      <c r="AZ398" s="106" t="s">
        <v>4453</v>
      </c>
      <c r="BA398" s="107" t="s">
        <v>4454</v>
      </c>
      <c r="BB398" s="136" t="s">
        <v>4338</v>
      </c>
      <c r="BC398" s="220">
        <f t="shared" si="48"/>
        <v>25</v>
      </c>
      <c r="BD398" s="103" t="str">
        <f t="shared" si="49"/>
        <v>INDENIZAÇÃO</v>
      </c>
      <c r="BE398" s="103" t="str">
        <f t="shared" si="50"/>
        <v>NÃO</v>
      </c>
      <c r="BF398" s="140" t="s">
        <v>4357</v>
      </c>
      <c r="BG398" s="140" t="s">
        <v>4357</v>
      </c>
      <c r="BH398" s="140" t="s">
        <v>4357</v>
      </c>
      <c r="BI398" s="103" t="s">
        <v>4338</v>
      </c>
      <c r="BJ398" s="103" t="s">
        <v>4338</v>
      </c>
      <c r="BK398" s="105">
        <v>46205</v>
      </c>
      <c r="BL398" s="154" t="s">
        <v>4461</v>
      </c>
      <c r="BM398" s="237"/>
    </row>
    <row r="399" spans="1:65" s="232" customFormat="1" ht="29.25" customHeight="1">
      <c r="A399" s="165">
        <v>390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6129</v>
      </c>
      <c r="G399" s="103" t="s">
        <v>4330</v>
      </c>
      <c r="H399" s="103" t="s">
        <v>4331</v>
      </c>
      <c r="I399" s="142" t="s">
        <v>4343</v>
      </c>
      <c r="J399" s="149" t="s">
        <v>6130</v>
      </c>
      <c r="K399" s="149" t="s">
        <v>6131</v>
      </c>
      <c r="L399" s="149" t="s">
        <v>6132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105">
        <v>46059</v>
      </c>
      <c r="Z399" s="105"/>
      <c r="AA399" s="103"/>
      <c r="AB399" s="149" t="s">
        <v>6130</v>
      </c>
      <c r="AC399" s="149" t="s">
        <v>6131</v>
      </c>
      <c r="AD399" s="149" t="s">
        <v>6132</v>
      </c>
      <c r="AE399" s="142" t="s">
        <v>4343</v>
      </c>
      <c r="AF399" s="103" t="s">
        <v>4333</v>
      </c>
      <c r="AG399" s="194" t="s">
        <v>4356</v>
      </c>
      <c r="AH399" s="194" t="s">
        <v>4356</v>
      </c>
      <c r="AI399" s="103" t="s">
        <v>4355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8"/>
        <v/>
      </c>
      <c r="BD399" s="103" t="str">
        <f t="shared" si="49"/>
        <v>AA</v>
      </c>
      <c r="BE399" s="103" t="str">
        <f t="shared" si="50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customHeight="1">
      <c r="A400" s="165">
        <v>391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45980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46017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03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48"/>
        <v/>
      </c>
      <c r="BD400" s="103" t="str">
        <f t="shared" si="49"/>
        <v>AA</v>
      </c>
      <c r="BE400" s="103" t="str">
        <f t="shared" si="50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03">
        <v>392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4457</v>
      </c>
      <c r="L401" s="149" t="s">
        <v>6139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6140</v>
      </c>
      <c r="AC401" s="149" t="s">
        <v>4457</v>
      </c>
      <c r="AD401" s="149" t="s">
        <v>6139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8"/>
        <v/>
      </c>
      <c r="BD401" s="103" t="str">
        <f t="shared" si="49"/>
        <v>AA</v>
      </c>
      <c r="BE401" s="103" t="str">
        <f t="shared" si="50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393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6143</v>
      </c>
      <c r="L402" s="149" t="s">
        <v>6144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6142</v>
      </c>
      <c r="AC402" s="149" t="s">
        <v>6143</v>
      </c>
      <c r="AD402" s="149" t="s">
        <v>6144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8"/>
        <v/>
      </c>
      <c r="BD402" s="103" t="str">
        <f t="shared" si="49"/>
        <v>AA</v>
      </c>
      <c r="BE402" s="103" t="str">
        <f t="shared" si="50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394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4457</v>
      </c>
      <c r="L403" s="149" t="s">
        <v>6147</v>
      </c>
      <c r="M403" s="103" t="s">
        <v>4333</v>
      </c>
      <c r="N403" s="103" t="s">
        <v>4345</v>
      </c>
      <c r="O403" s="105"/>
      <c r="P403" s="108">
        <v>46031</v>
      </c>
      <c r="Q403" s="105" t="s">
        <v>4436</v>
      </c>
      <c r="R403" s="108">
        <v>46030</v>
      </c>
      <c r="S403" s="108">
        <v>46031</v>
      </c>
      <c r="T403" s="108">
        <v>46036</v>
      </c>
      <c r="U403" s="108">
        <v>46045</v>
      </c>
      <c r="V403" s="108" t="s">
        <v>4437</v>
      </c>
      <c r="W403" s="108" t="s">
        <v>4437</v>
      </c>
      <c r="X403" s="105">
        <v>46055</v>
      </c>
      <c r="Y403" s="105">
        <v>46056</v>
      </c>
      <c r="Z403" s="105"/>
      <c r="AA403" s="103"/>
      <c r="AB403" s="149" t="s">
        <v>6146</v>
      </c>
      <c r="AC403" s="149" t="s">
        <v>4457</v>
      </c>
      <c r="AD403" s="149" t="s">
        <v>6147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8"/>
        <v/>
      </c>
      <c r="BD403" s="103" t="str">
        <f t="shared" si="49"/>
        <v>AA</v>
      </c>
      <c r="BE403" s="103" t="str">
        <f t="shared" si="50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65">
        <v>395</v>
      </c>
      <c r="B404" s="103" t="s">
        <v>4431</v>
      </c>
      <c r="C404" s="103" t="s">
        <v>4439</v>
      </c>
      <c r="D404" s="103">
        <v>1</v>
      </c>
      <c r="E404" s="103" t="s">
        <v>4432</v>
      </c>
      <c r="F404" s="104" t="s">
        <v>6148</v>
      </c>
      <c r="G404" s="103" t="s">
        <v>4330</v>
      </c>
      <c r="H404" s="103" t="s">
        <v>4331</v>
      </c>
      <c r="I404" s="103" t="s">
        <v>4343</v>
      </c>
      <c r="J404" s="149" t="s">
        <v>6149</v>
      </c>
      <c r="K404" s="149" t="s">
        <v>6150</v>
      </c>
      <c r="L404" s="149" t="s">
        <v>6151</v>
      </c>
      <c r="M404" s="103" t="s">
        <v>4333</v>
      </c>
      <c r="N404" s="103" t="s">
        <v>4345</v>
      </c>
      <c r="O404" s="105">
        <v>46086</v>
      </c>
      <c r="P404" s="108">
        <v>46090</v>
      </c>
      <c r="Q404" s="108" t="s">
        <v>4436</v>
      </c>
      <c r="R404" s="105">
        <v>46090</v>
      </c>
      <c r="S404" s="105">
        <v>46099</v>
      </c>
      <c r="T404" s="105">
        <v>46101</v>
      </c>
      <c r="U404" s="105">
        <v>46118</v>
      </c>
      <c r="V404" s="105" t="s">
        <v>4437</v>
      </c>
      <c r="W404" s="105" t="s">
        <v>4437</v>
      </c>
      <c r="X404" s="105">
        <v>46118</v>
      </c>
      <c r="Y404" s="105">
        <v>46126</v>
      </c>
      <c r="Z404" s="105"/>
      <c r="AA404" s="105"/>
      <c r="AB404" s="149" t="s">
        <v>6149</v>
      </c>
      <c r="AC404" s="149" t="s">
        <v>6150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12"/>
      <c r="AP404" s="171"/>
      <c r="AQ404" s="112"/>
      <c r="AR404" s="112"/>
      <c r="AS404" s="112"/>
      <c r="AT404" s="112"/>
      <c r="AU404" s="112"/>
      <c r="AV404" s="112"/>
      <c r="AW404" s="112"/>
      <c r="AX404" s="112"/>
      <c r="AY404" s="166"/>
      <c r="AZ404" s="108"/>
      <c r="BA404" s="112"/>
      <c r="BB404" s="112"/>
      <c r="BC404" s="220" t="str">
        <f t="shared" si="48"/>
        <v/>
      </c>
      <c r="BD404" s="103" t="str">
        <f t="shared" si="49"/>
        <v>AA</v>
      </c>
      <c r="BE404" s="103" t="str">
        <f t="shared" si="50"/>
        <v>NÃO</v>
      </c>
      <c r="BF404" s="112"/>
      <c r="BG404" s="147"/>
      <c r="BH404" s="147"/>
      <c r="BI404" s="112"/>
      <c r="BJ404" s="112"/>
      <c r="BK404" s="112"/>
      <c r="BL404" s="112"/>
      <c r="BM404" s="236"/>
    </row>
    <row r="405" spans="1:107" s="232" customFormat="1" ht="29.25" customHeight="1">
      <c r="A405" s="165">
        <v>396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6148</v>
      </c>
      <c r="G405" s="103" t="s">
        <v>4330</v>
      </c>
      <c r="H405" s="103" t="s">
        <v>4331</v>
      </c>
      <c r="I405" s="142" t="s">
        <v>4343</v>
      </c>
      <c r="J405" s="149" t="s">
        <v>6152</v>
      </c>
      <c r="K405" s="149" t="s">
        <v>6153</v>
      </c>
      <c r="L405" s="149" t="s">
        <v>6154</v>
      </c>
      <c r="M405" s="103" t="s">
        <v>4333</v>
      </c>
      <c r="N405" s="103" t="s">
        <v>4459</v>
      </c>
      <c r="O405" s="105">
        <v>46160</v>
      </c>
      <c r="P405" s="105" t="s">
        <v>4356</v>
      </c>
      <c r="Q405" s="105" t="s">
        <v>4356</v>
      </c>
      <c r="R405" s="105" t="s">
        <v>4356</v>
      </c>
      <c r="S405" s="105" t="s">
        <v>4356</v>
      </c>
      <c r="T405" s="105" t="s">
        <v>4356</v>
      </c>
      <c r="U405" s="105" t="s">
        <v>4356</v>
      </c>
      <c r="V405" s="105" t="s">
        <v>4356</v>
      </c>
      <c r="W405" s="105" t="s">
        <v>4356</v>
      </c>
      <c r="X405" s="105" t="s">
        <v>4356</v>
      </c>
      <c r="Y405" s="105" t="s">
        <v>4356</v>
      </c>
      <c r="Z405" s="105"/>
      <c r="AA405" s="103"/>
      <c r="AB405" s="149" t="s">
        <v>6152</v>
      </c>
      <c r="AC405" s="149" t="s">
        <v>6153</v>
      </c>
      <c r="AD405" s="149" t="s">
        <v>6154</v>
      </c>
      <c r="AE405" s="103" t="s">
        <v>4343</v>
      </c>
      <c r="AF405" s="103" t="s">
        <v>4333</v>
      </c>
      <c r="AG405" s="194">
        <v>71123.05</v>
      </c>
      <c r="AH405" s="194">
        <v>71123.05</v>
      </c>
      <c r="AI405" s="103" t="s">
        <v>4447</v>
      </c>
      <c r="AJ405" s="104" t="s">
        <v>4438</v>
      </c>
      <c r="AK405" s="103">
        <v>154685258</v>
      </c>
      <c r="AL405" s="103" t="s">
        <v>4338</v>
      </c>
      <c r="AM405" s="103" t="s">
        <v>4338</v>
      </c>
      <c r="AN405" s="103" t="s">
        <v>4339</v>
      </c>
      <c r="AO405" s="259"/>
      <c r="AP405" s="277" t="s">
        <v>6155</v>
      </c>
      <c r="AQ405" s="143" t="s">
        <v>4338</v>
      </c>
      <c r="AR405" s="103" t="s">
        <v>4338</v>
      </c>
      <c r="AS405" s="112" t="s">
        <v>4338</v>
      </c>
      <c r="AT405" s="112" t="s">
        <v>4338</v>
      </c>
      <c r="AU405" s="105">
        <v>46226</v>
      </c>
      <c r="AV405" s="112" t="s">
        <v>4338</v>
      </c>
      <c r="AW405" s="109" t="s">
        <v>4453</v>
      </c>
      <c r="AX405" s="109"/>
      <c r="AY405" s="157"/>
      <c r="AZ405" s="157"/>
      <c r="BA405" s="109" t="s">
        <v>4330</v>
      </c>
      <c r="BB405" s="136"/>
      <c r="BC405" s="220" t="str">
        <f t="shared" si="48"/>
        <v/>
      </c>
      <c r="BD405" s="103" t="str">
        <f t="shared" si="49"/>
        <v>INDENIZAÇÃO</v>
      </c>
      <c r="BE405" s="103" t="str">
        <f t="shared" si="50"/>
        <v>NÃO</v>
      </c>
      <c r="BF405" s="140"/>
      <c r="BG405" s="140"/>
      <c r="BH405" s="140"/>
      <c r="BI405" s="140"/>
      <c r="BJ405" s="140"/>
      <c r="BK405" s="140"/>
      <c r="BL405" s="140"/>
      <c r="BM405" s="238"/>
      <c r="BN405" s="99"/>
      <c r="BO405" s="99"/>
      <c r="BP405" s="99"/>
      <c r="BQ405" s="99"/>
      <c r="BR405" s="99"/>
      <c r="BS405" s="99"/>
      <c r="BT405" s="99"/>
      <c r="BU405" s="99"/>
      <c r="BV405" s="99"/>
      <c r="BW405" s="99"/>
      <c r="BX405" s="99"/>
      <c r="BY405" s="99"/>
      <c r="BZ405" s="99"/>
      <c r="CA405" s="99"/>
      <c r="CB405" s="99"/>
      <c r="CC405" s="99"/>
      <c r="CD405" s="99"/>
      <c r="CE405" s="99"/>
      <c r="CF405" s="99"/>
      <c r="CG405" s="99"/>
      <c r="CH405" s="99"/>
      <c r="CI405" s="99"/>
      <c r="CJ405" s="99"/>
      <c r="CK405" s="99"/>
      <c r="CL405" s="99"/>
      <c r="CM405" s="99"/>
      <c r="CN405" s="99"/>
      <c r="CO405" s="99"/>
      <c r="CP405" s="99"/>
      <c r="CQ405" s="99"/>
      <c r="CR405" s="99"/>
      <c r="CS405" s="99"/>
      <c r="CT405" s="99"/>
      <c r="CU405" s="99"/>
      <c r="CV405" s="99"/>
      <c r="CW405" s="99"/>
      <c r="CX405" s="99"/>
      <c r="CY405" s="99"/>
      <c r="CZ405" s="99"/>
      <c r="DA405" s="99"/>
      <c r="DB405" s="99"/>
      <c r="DC405" s="99"/>
    </row>
    <row r="406" spans="1:107" s="232" customFormat="1" ht="29.25" customHeight="1">
      <c r="A406" s="165">
        <v>397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6156</v>
      </c>
      <c r="G406" s="103" t="s">
        <v>4330</v>
      </c>
      <c r="H406" s="103" t="s">
        <v>4342</v>
      </c>
      <c r="I406" s="103" t="s">
        <v>4332</v>
      </c>
      <c r="J406" s="149" t="s">
        <v>6157</v>
      </c>
      <c r="K406" s="149" t="s">
        <v>6158</v>
      </c>
      <c r="L406" s="149" t="s">
        <v>6159</v>
      </c>
      <c r="M406" s="103" t="s">
        <v>4333</v>
      </c>
      <c r="N406" s="103" t="s">
        <v>4334</v>
      </c>
      <c r="O406" s="105">
        <v>46188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5"/>
      <c r="AB406" s="149" t="s">
        <v>6160</v>
      </c>
      <c r="AC406" s="149" t="s">
        <v>6158</v>
      </c>
      <c r="AD406" s="149" t="s">
        <v>6159</v>
      </c>
      <c r="AE406" s="103" t="s">
        <v>4332</v>
      </c>
      <c r="AF406" s="103" t="s">
        <v>4333</v>
      </c>
      <c r="AG406" s="194">
        <v>53425.95</v>
      </c>
      <c r="AH406" s="194">
        <v>60000</v>
      </c>
      <c r="AI406" s="103" t="s">
        <v>4447</v>
      </c>
      <c r="AJ406" s="104" t="s">
        <v>4438</v>
      </c>
      <c r="AK406" s="103">
        <v>158037398</v>
      </c>
      <c r="AL406" s="103" t="s">
        <v>4338</v>
      </c>
      <c r="AM406" s="103" t="s">
        <v>4338</v>
      </c>
      <c r="AN406" s="103" t="s">
        <v>4339</v>
      </c>
      <c r="AO406" s="112"/>
      <c r="AP406" s="171" t="s">
        <v>6161</v>
      </c>
      <c r="AQ406" s="165" t="s">
        <v>4822</v>
      </c>
      <c r="AR406" s="103" t="s">
        <v>4822</v>
      </c>
      <c r="AS406" s="103" t="s">
        <v>4822</v>
      </c>
      <c r="AT406" s="107" t="s">
        <v>4453</v>
      </c>
      <c r="AU406" s="109"/>
      <c r="AV406" s="109"/>
      <c r="AW406" s="109"/>
      <c r="AX406" s="109"/>
      <c r="AY406" s="157"/>
      <c r="AZ406" s="157"/>
      <c r="BA406" s="107" t="s">
        <v>4330</v>
      </c>
      <c r="BB406" s="112"/>
      <c r="BC406" s="220"/>
      <c r="BD406" s="103"/>
      <c r="BE406" s="103"/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03">
        <v>398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6162</v>
      </c>
      <c r="G407" s="103" t="s">
        <v>4330</v>
      </c>
      <c r="H407" s="103" t="s">
        <v>4331</v>
      </c>
      <c r="I407" s="103" t="s">
        <v>4343</v>
      </c>
      <c r="J407" s="149" t="s">
        <v>6163</v>
      </c>
      <c r="K407" s="149" t="s">
        <v>6164</v>
      </c>
      <c r="L407" s="149" t="s">
        <v>6165</v>
      </c>
      <c r="M407" s="103" t="s">
        <v>4333</v>
      </c>
      <c r="N407" s="103" t="s">
        <v>4345</v>
      </c>
      <c r="O407" s="105">
        <v>46080</v>
      </c>
      <c r="P407" s="105">
        <v>46084</v>
      </c>
      <c r="Q407" s="105" t="s">
        <v>4436</v>
      </c>
      <c r="R407" s="105">
        <v>46083</v>
      </c>
      <c r="S407" s="108">
        <v>46084</v>
      </c>
      <c r="T407" s="108">
        <v>46087</v>
      </c>
      <c r="U407" s="108">
        <v>46090</v>
      </c>
      <c r="V407" s="105" t="s">
        <v>4437</v>
      </c>
      <c r="W407" s="105" t="s">
        <v>4437</v>
      </c>
      <c r="X407" s="105">
        <v>46101</v>
      </c>
      <c r="Y407" s="105">
        <v>46101</v>
      </c>
      <c r="Z407" s="105"/>
      <c r="AA407" s="105"/>
      <c r="AB407" s="149" t="s">
        <v>6163</v>
      </c>
      <c r="AC407" s="149" t="s">
        <v>6164</v>
      </c>
      <c r="AD407" s="149" t="s">
        <v>6165</v>
      </c>
      <c r="AE407" s="103" t="s">
        <v>4343</v>
      </c>
      <c r="AF407" s="103" t="s">
        <v>4333</v>
      </c>
      <c r="AG407" s="194" t="s">
        <v>4356</v>
      </c>
      <c r="AH407" s="194" t="s">
        <v>4356</v>
      </c>
      <c r="AI407" s="103" t="s">
        <v>4355</v>
      </c>
      <c r="AJ407" s="104" t="s">
        <v>4438</v>
      </c>
      <c r="AK407" s="103"/>
      <c r="AL407" s="103"/>
      <c r="AM407" s="103"/>
      <c r="AN407" s="103"/>
      <c r="AO407" s="112"/>
      <c r="AP407" s="171"/>
      <c r="AQ407" s="112"/>
      <c r="AR407" s="112"/>
      <c r="AS407" s="112"/>
      <c r="AT407" s="112"/>
      <c r="AU407" s="112"/>
      <c r="AV407" s="112"/>
      <c r="AW407" s="112"/>
      <c r="AX407" s="112"/>
      <c r="AY407" s="166"/>
      <c r="AZ407" s="108"/>
      <c r="BA407" s="112"/>
      <c r="BB407" s="112"/>
      <c r="BC407" s="220" t="str">
        <f>IF(AY407-KD407=0,"",AY407-O407)</f>
        <v/>
      </c>
      <c r="BD407" s="103" t="str">
        <f>IF(AND(AI407&lt;&gt;"SIM",AI407="UH"),"AA","INDENIZAÇÃO")</f>
        <v>AA</v>
      </c>
      <c r="BE407" s="103" t="str">
        <f>IF(AND(AY407&lt;&gt;"AGUARDANDO",AY407&lt;&gt;"",N407="AUXÍLIO ALUGUEL ATÉ INDENIZAÇÃO"),"SIM","NÃO")</f>
        <v>NÃO</v>
      </c>
      <c r="BF407" s="112"/>
      <c r="BG407" s="147"/>
      <c r="BH407" s="147"/>
      <c r="BI407" s="112"/>
      <c r="BJ407" s="112"/>
      <c r="BK407" s="112"/>
      <c r="BL407" s="112"/>
      <c r="BM407" s="236"/>
    </row>
    <row r="408" spans="1:107" s="232" customFormat="1" ht="29.25" customHeight="1">
      <c r="A408" s="103">
        <v>399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6166</v>
      </c>
      <c r="G408" s="103" t="s">
        <v>4330</v>
      </c>
      <c r="H408" s="103" t="s">
        <v>4331</v>
      </c>
      <c r="I408" s="103" t="s">
        <v>4343</v>
      </c>
      <c r="J408" s="149" t="s">
        <v>6167</v>
      </c>
      <c r="K408" s="149" t="s">
        <v>6168</v>
      </c>
      <c r="L408" s="149" t="s">
        <v>6169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6167</v>
      </c>
      <c r="AC408" s="149" t="s">
        <v>6168</v>
      </c>
      <c r="AD408" s="149" t="s">
        <v>6169</v>
      </c>
      <c r="AE408" s="142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99"/>
      <c r="AR408" s="112"/>
      <c r="AS408" s="112"/>
      <c r="AT408" s="99"/>
      <c r="AU408" s="99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400</v>
      </c>
      <c r="B409" s="103" t="s">
        <v>4431</v>
      </c>
      <c r="C409" s="103" t="s">
        <v>4448</v>
      </c>
      <c r="D409" s="103">
        <v>1</v>
      </c>
      <c r="E409" s="103" t="s">
        <v>4432</v>
      </c>
      <c r="F409" s="104" t="s">
        <v>6170</v>
      </c>
      <c r="G409" s="103" t="s">
        <v>4330</v>
      </c>
      <c r="H409" s="103" t="s">
        <v>4352</v>
      </c>
      <c r="I409" s="142" t="s">
        <v>4343</v>
      </c>
      <c r="J409" s="149" t="s">
        <v>6171</v>
      </c>
      <c r="K409" s="149" t="s">
        <v>6172</v>
      </c>
      <c r="L409" s="149" t="s">
        <v>6173</v>
      </c>
      <c r="M409" s="103" t="s">
        <v>4333</v>
      </c>
      <c r="N409" s="103" t="s">
        <v>4459</v>
      </c>
      <c r="O409" s="105">
        <v>46045</v>
      </c>
      <c r="P409" s="105" t="s">
        <v>4356</v>
      </c>
      <c r="Q409" s="105" t="s">
        <v>4356</v>
      </c>
      <c r="R409" s="105" t="s">
        <v>4356</v>
      </c>
      <c r="S409" s="105" t="s">
        <v>4356</v>
      </c>
      <c r="T409" s="105" t="s">
        <v>4356</v>
      </c>
      <c r="U409" s="105" t="s">
        <v>4356</v>
      </c>
      <c r="V409" s="105" t="s">
        <v>4356</v>
      </c>
      <c r="W409" s="105" t="s">
        <v>4356</v>
      </c>
      <c r="X409" s="105" t="s">
        <v>4356</v>
      </c>
      <c r="Y409" s="105" t="s">
        <v>4356</v>
      </c>
      <c r="Z409" s="105"/>
      <c r="AA409" s="103"/>
      <c r="AB409" s="149" t="s">
        <v>6171</v>
      </c>
      <c r="AC409" s="149" t="s">
        <v>6172</v>
      </c>
      <c r="AD409" s="149" t="s">
        <v>6173</v>
      </c>
      <c r="AE409" s="103" t="s">
        <v>4343</v>
      </c>
      <c r="AF409" s="112" t="s">
        <v>4333</v>
      </c>
      <c r="AG409" s="194">
        <v>103783.01</v>
      </c>
      <c r="AH409" s="194">
        <v>103783.01</v>
      </c>
      <c r="AI409" s="103" t="s">
        <v>4336</v>
      </c>
      <c r="AJ409" s="104" t="s">
        <v>4438</v>
      </c>
      <c r="AK409" s="103">
        <v>148265385</v>
      </c>
      <c r="AL409" s="103" t="s">
        <v>4338</v>
      </c>
      <c r="AM409" s="103" t="s">
        <v>4338</v>
      </c>
      <c r="AN409" s="103" t="s">
        <v>4339</v>
      </c>
      <c r="AO409" s="103"/>
      <c r="AP409" s="171" t="s">
        <v>6174</v>
      </c>
      <c r="AQ409" s="103" t="s">
        <v>4338</v>
      </c>
      <c r="AR409" s="103" t="s">
        <v>4338</v>
      </c>
      <c r="AS409" s="103" t="s">
        <v>4338</v>
      </c>
      <c r="AT409" s="103" t="s">
        <v>4338</v>
      </c>
      <c r="AU409" s="105">
        <v>46125</v>
      </c>
      <c r="AV409" s="103" t="s">
        <v>4338</v>
      </c>
      <c r="AW409" s="103" t="s">
        <v>4338</v>
      </c>
      <c r="AX409" s="105">
        <v>46140</v>
      </c>
      <c r="AY409" s="106">
        <v>46140</v>
      </c>
      <c r="AZ409" s="106" t="s">
        <v>4453</v>
      </c>
      <c r="BA409" s="107" t="s">
        <v>4454</v>
      </c>
      <c r="BB409" s="136" t="s">
        <v>4338</v>
      </c>
      <c r="BC409" s="220">
        <f>IF(AY409-KD409=0,"",AY409-O409)</f>
        <v>95</v>
      </c>
      <c r="BD409" s="103" t="str">
        <f>IF(AND(AI409&lt;&gt;"SIM",AI409="UH"),"AA","INDENIZAÇÃO")</f>
        <v>INDENIZAÇÃO</v>
      </c>
      <c r="BE409" s="103" t="str">
        <f>IF(AND(AY409&lt;&gt;"AGUARDANDO",AY409&lt;&gt;"",N409="AUXÍLIO ALUGUEL ATÉ INDENIZAÇÃO"),"SIM","NÃO")</f>
        <v>NÃO</v>
      </c>
      <c r="BF409" s="112" t="s">
        <v>4357</v>
      </c>
      <c r="BG409" s="112" t="s">
        <v>4357</v>
      </c>
      <c r="BH409" s="112" t="s">
        <v>4357</v>
      </c>
      <c r="BI409" s="109" t="s">
        <v>5393</v>
      </c>
      <c r="BJ409" s="109"/>
      <c r="BK409" s="109"/>
      <c r="BL409" s="109"/>
      <c r="BM409" s="239"/>
    </row>
    <row r="410" spans="1:107" s="232" customFormat="1" ht="29.25" customHeight="1">
      <c r="A410" s="165">
        <v>401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6170</v>
      </c>
      <c r="G410" s="103" t="s">
        <v>4330</v>
      </c>
      <c r="H410" s="103" t="s">
        <v>4331</v>
      </c>
      <c r="I410" s="103" t="s">
        <v>4343</v>
      </c>
      <c r="J410" s="149" t="s">
        <v>6175</v>
      </c>
      <c r="K410" s="149" t="s">
        <v>6176</v>
      </c>
      <c r="L410" s="149" t="s">
        <v>6177</v>
      </c>
      <c r="M410" s="103" t="s">
        <v>4333</v>
      </c>
      <c r="N410" s="103" t="s">
        <v>4459</v>
      </c>
      <c r="O410" s="105">
        <v>46129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12"/>
      <c r="AB410" s="149" t="s">
        <v>6175</v>
      </c>
      <c r="AC410" s="149" t="s">
        <v>6176</v>
      </c>
      <c r="AD410" s="149" t="s">
        <v>6177</v>
      </c>
      <c r="AE410" s="103" t="s">
        <v>4343</v>
      </c>
      <c r="AF410" s="103" t="s">
        <v>4333</v>
      </c>
      <c r="AG410" s="194">
        <v>56907.78</v>
      </c>
      <c r="AH410" s="194">
        <v>60000</v>
      </c>
      <c r="AI410" s="103" t="s">
        <v>4336</v>
      </c>
      <c r="AJ410" s="104" t="s">
        <v>4438</v>
      </c>
      <c r="AK410" s="103">
        <v>153002371</v>
      </c>
      <c r="AL410" s="103" t="s">
        <v>4338</v>
      </c>
      <c r="AM410" s="103" t="s">
        <v>4338</v>
      </c>
      <c r="AN410" s="103" t="s">
        <v>4339</v>
      </c>
      <c r="AO410" s="112"/>
      <c r="AP410" s="171" t="s">
        <v>4453</v>
      </c>
      <c r="AQ410" s="282" t="s">
        <v>5589</v>
      </c>
      <c r="AR410" s="109"/>
      <c r="AS410" s="109"/>
      <c r="AT410" s="109"/>
      <c r="AU410" s="109"/>
      <c r="AV410" s="109"/>
      <c r="AW410" s="109"/>
      <c r="AX410" s="109"/>
      <c r="AY410" s="157"/>
      <c r="AZ410" s="157"/>
      <c r="BA410" s="107" t="s">
        <v>4330</v>
      </c>
      <c r="BB410" s="112"/>
      <c r="BC410" s="220" t="str">
        <f>IF(AY410-KD410=0,"",AY410-O410)</f>
        <v/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customHeight="1">
      <c r="A411" s="165">
        <v>402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42" t="s">
        <v>4925</v>
      </c>
      <c r="J411" s="149" t="s">
        <v>6179</v>
      </c>
      <c r="K411" s="149"/>
      <c r="L411" s="149" t="s">
        <v>6180</v>
      </c>
      <c r="M411" s="103" t="s">
        <v>4333</v>
      </c>
      <c r="N411" s="103" t="s">
        <v>4345</v>
      </c>
      <c r="O411" s="108"/>
      <c r="P411" s="105">
        <v>46176</v>
      </c>
      <c r="Q411" s="105" t="s">
        <v>4436</v>
      </c>
      <c r="R411" s="105">
        <v>46174</v>
      </c>
      <c r="S411" s="105">
        <v>46176</v>
      </c>
      <c r="T411" s="105">
        <v>46202</v>
      </c>
      <c r="U411" s="105">
        <v>46204</v>
      </c>
      <c r="V411" s="108" t="s">
        <v>4437</v>
      </c>
      <c r="W411" s="108" t="s">
        <v>4437</v>
      </c>
      <c r="X411" s="105">
        <v>46223</v>
      </c>
      <c r="Y411" s="105"/>
      <c r="Z411" s="108"/>
      <c r="AA411" s="153"/>
      <c r="AB411" s="149" t="s">
        <v>6181</v>
      </c>
      <c r="AC411" s="149" t="s">
        <v>4457</v>
      </c>
      <c r="AD411" s="149" t="s">
        <v>6180</v>
      </c>
      <c r="AE411" s="153" t="s">
        <v>4332</v>
      </c>
      <c r="AF411" s="112" t="s">
        <v>4333</v>
      </c>
      <c r="AG411" s="194"/>
      <c r="AH411" s="194"/>
      <c r="AI411" s="103"/>
      <c r="AJ411" s="104" t="s">
        <v>4438</v>
      </c>
      <c r="AK411" s="103"/>
      <c r="AL411" s="103"/>
      <c r="AM411" s="103"/>
      <c r="AN411" s="103"/>
      <c r="AO411" s="112"/>
      <c r="AP411" s="171"/>
      <c r="AQ411" s="112"/>
      <c r="AR411" s="112"/>
      <c r="AS411" s="112"/>
      <c r="AT411" s="112"/>
      <c r="AU411" s="112"/>
      <c r="AV411" s="112"/>
      <c r="AW411" s="112"/>
      <c r="AX411" s="112"/>
      <c r="AY411" s="166"/>
      <c r="AZ411" s="108"/>
      <c r="BA411" s="112"/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403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6178</v>
      </c>
      <c r="G412" s="103" t="s">
        <v>4330</v>
      </c>
      <c r="H412" s="103" t="s">
        <v>4331</v>
      </c>
      <c r="I412" s="103" t="s">
        <v>4343</v>
      </c>
      <c r="J412" s="149" t="s">
        <v>6182</v>
      </c>
      <c r="K412" s="149" t="s">
        <v>6183</v>
      </c>
      <c r="L412" s="149" t="s">
        <v>6184</v>
      </c>
      <c r="M412" s="103" t="s">
        <v>4333</v>
      </c>
      <c r="N412" s="103" t="s">
        <v>4334</v>
      </c>
      <c r="O412" s="105">
        <v>46206</v>
      </c>
      <c r="P412" s="108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8"/>
      <c r="AA412" s="153"/>
      <c r="AB412" s="149" t="s">
        <v>6182</v>
      </c>
      <c r="AC412" s="149" t="s">
        <v>6183</v>
      </c>
      <c r="AD412" s="149" t="s">
        <v>6184</v>
      </c>
      <c r="AE412" s="103" t="s">
        <v>4343</v>
      </c>
      <c r="AF412" s="112" t="s">
        <v>5044</v>
      </c>
      <c r="AG412" s="194">
        <v>21838.720000000001</v>
      </c>
      <c r="AH412" s="194">
        <v>51838.720000000001</v>
      </c>
      <c r="AI412" s="103" t="s">
        <v>4447</v>
      </c>
      <c r="AJ412" s="104" t="s">
        <v>4438</v>
      </c>
      <c r="AK412" s="103">
        <v>160470889</v>
      </c>
      <c r="AL412" s="103" t="s">
        <v>4347</v>
      </c>
      <c r="AM412" s="103" t="s">
        <v>4338</v>
      </c>
      <c r="AN412" s="103" t="s">
        <v>4368</v>
      </c>
      <c r="AO412" s="99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95"/>
      <c r="BB412" s="112"/>
      <c r="BC412" s="220"/>
      <c r="BD412" s="103"/>
      <c r="BE412" s="103"/>
      <c r="BF412" s="112"/>
      <c r="BG412" s="147"/>
      <c r="BH412" s="147"/>
      <c r="BI412" s="112"/>
      <c r="BJ412" s="112"/>
      <c r="BK412" s="112"/>
      <c r="BL412" s="112"/>
      <c r="BM412" s="236"/>
      <c r="BN412" s="231"/>
      <c r="BO412" s="231"/>
    </row>
    <row r="413" spans="1:107" s="232" customFormat="1" ht="29.25" customHeight="1">
      <c r="A413" s="103">
        <v>404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6185</v>
      </c>
      <c r="G413" s="103" t="s">
        <v>4330</v>
      </c>
      <c r="H413" s="103" t="s">
        <v>4331</v>
      </c>
      <c r="I413" s="103" t="s">
        <v>4343</v>
      </c>
      <c r="J413" s="149" t="s">
        <v>6186</v>
      </c>
      <c r="K413" s="149"/>
      <c r="L413" s="149" t="s">
        <v>6187</v>
      </c>
      <c r="M413" s="103" t="s">
        <v>4333</v>
      </c>
      <c r="N413" s="103" t="s">
        <v>4345</v>
      </c>
      <c r="O413" s="105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5" t="s">
        <v>4437</v>
      </c>
      <c r="W413" s="105" t="s">
        <v>4437</v>
      </c>
      <c r="X413" s="105">
        <v>46223</v>
      </c>
      <c r="Y413" s="105"/>
      <c r="Z413" s="108"/>
      <c r="AA413" s="153"/>
      <c r="AB413" s="149"/>
      <c r="AC413" s="149"/>
      <c r="AD413" s="149"/>
      <c r="AE413" s="103"/>
      <c r="AF413" s="112"/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405</v>
      </c>
      <c r="B414" s="103" t="s">
        <v>4431</v>
      </c>
      <c r="C414" s="103" t="s">
        <v>4448</v>
      </c>
      <c r="D414" s="103">
        <v>1</v>
      </c>
      <c r="E414" s="103" t="s">
        <v>4432</v>
      </c>
      <c r="F414" s="104" t="s">
        <v>6188</v>
      </c>
      <c r="G414" s="103" t="s">
        <v>4330</v>
      </c>
      <c r="H414" s="103" t="s">
        <v>4331</v>
      </c>
      <c r="I414" s="142" t="s">
        <v>4440</v>
      </c>
      <c r="J414" s="149" t="s">
        <v>6189</v>
      </c>
      <c r="K414" s="149" t="s">
        <v>6190</v>
      </c>
      <c r="L414" s="149" t="s">
        <v>6191</v>
      </c>
      <c r="M414" s="103" t="s">
        <v>4333</v>
      </c>
      <c r="N414" s="103" t="s">
        <v>4345</v>
      </c>
      <c r="O414" s="108">
        <v>46066</v>
      </c>
      <c r="P414" s="105">
        <v>46065</v>
      </c>
      <c r="Q414" s="108" t="s">
        <v>4436</v>
      </c>
      <c r="R414" s="105">
        <v>46072</v>
      </c>
      <c r="S414" s="108">
        <v>46072</v>
      </c>
      <c r="T414" s="108">
        <v>46080</v>
      </c>
      <c r="U414" s="105">
        <v>46083</v>
      </c>
      <c r="V414" s="105" t="s">
        <v>4437</v>
      </c>
      <c r="W414" s="105" t="s">
        <v>4437</v>
      </c>
      <c r="X414" s="108">
        <v>46055</v>
      </c>
      <c r="Y414" s="108" t="s">
        <v>4457</v>
      </c>
      <c r="Z414" s="105"/>
      <c r="AA414" s="112" t="s">
        <v>6192</v>
      </c>
      <c r="AB414" s="149" t="s">
        <v>6193</v>
      </c>
      <c r="AC414" s="149" t="s">
        <v>6194</v>
      </c>
      <c r="AD414" s="149" t="s">
        <v>6195</v>
      </c>
      <c r="AE414" s="142" t="s">
        <v>4332</v>
      </c>
      <c r="AF414" s="112" t="s">
        <v>4333</v>
      </c>
      <c r="AG414" s="194">
        <v>17725.560000000001</v>
      </c>
      <c r="AH414" s="194">
        <v>17725.560000000001</v>
      </c>
      <c r="AI414" s="103" t="s">
        <v>4336</v>
      </c>
      <c r="AJ414" s="104" t="s">
        <v>4438</v>
      </c>
      <c r="AK414" s="103">
        <v>150610221</v>
      </c>
      <c r="AL414" s="103" t="s">
        <v>4347</v>
      </c>
      <c r="AM414" s="103" t="s">
        <v>4338</v>
      </c>
      <c r="AN414" s="103" t="s">
        <v>4368</v>
      </c>
      <c r="AO414" s="112"/>
      <c r="AP414" s="277" t="s">
        <v>6196</v>
      </c>
      <c r="AQ414" s="143" t="s">
        <v>4338</v>
      </c>
      <c r="AR414" s="103" t="s">
        <v>4338</v>
      </c>
      <c r="AS414" s="112" t="s">
        <v>4338</v>
      </c>
      <c r="AT414" s="112" t="s">
        <v>4338</v>
      </c>
      <c r="AU414" s="105">
        <v>46226</v>
      </c>
      <c r="AV414" s="112" t="s">
        <v>4338</v>
      </c>
      <c r="AW414" s="109" t="s">
        <v>4453</v>
      </c>
      <c r="AX414" s="109"/>
      <c r="AY414" s="157"/>
      <c r="AZ414" s="157"/>
      <c r="BA414" s="109" t="s">
        <v>4330</v>
      </c>
      <c r="BB414" s="112"/>
      <c r="BC414" s="220" t="str">
        <f t="shared" ref="BC414:BC459" si="51">IF(AY414-KD414=0,"",AY414-O414)</f>
        <v/>
      </c>
      <c r="BD414" s="103" t="str">
        <f t="shared" ref="BD414:BD459" si="52">IF(AND(AI414&lt;&gt;"SIM",AI414="UH"),"AA","INDENIZAÇÃO")</f>
        <v>INDENIZAÇÃO</v>
      </c>
      <c r="BE414" s="103" t="str">
        <f t="shared" ref="BE414:BE459" si="53">IF(AND(AY414&lt;&gt;"AGUARDANDO",AY414&lt;&gt;"",N414="AUXÍLIO ALUGUEL ATÉ INDENIZAÇÃO"),"SIM","NÃO")</f>
        <v>NÃO</v>
      </c>
      <c r="BF414" s="112"/>
      <c r="BG414" s="147"/>
      <c r="BH414" s="147"/>
      <c r="BI414" s="112"/>
      <c r="BJ414" s="112"/>
      <c r="BK414" s="112"/>
      <c r="BL414" s="112"/>
      <c r="BM414" s="236"/>
    </row>
    <row r="415" spans="1:107" s="232" customFormat="1" ht="29.25" customHeight="1">
      <c r="A415" s="103">
        <v>406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6188</v>
      </c>
      <c r="G415" s="103" t="s">
        <v>4330</v>
      </c>
      <c r="H415" s="103" t="s">
        <v>4331</v>
      </c>
      <c r="I415" s="103" t="s">
        <v>4343</v>
      </c>
      <c r="J415" s="149" t="s">
        <v>6197</v>
      </c>
      <c r="K415" s="149" t="s">
        <v>6198</v>
      </c>
      <c r="L415" s="149" t="s">
        <v>6199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280"/>
      <c r="AA415" s="105"/>
      <c r="AB415" s="149" t="s">
        <v>6197</v>
      </c>
      <c r="AC415" s="149" t="s">
        <v>6198</v>
      </c>
      <c r="AD415" s="149" t="s">
        <v>6199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7" t="s">
        <v>6200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09" t="s">
        <v>4453</v>
      </c>
      <c r="AX415" s="109"/>
      <c r="AY415" s="157"/>
      <c r="AZ415" s="157"/>
      <c r="BA415" s="109" t="s">
        <v>4330</v>
      </c>
      <c r="BB415" s="112"/>
      <c r="BC415" s="220" t="str">
        <f t="shared" si="51"/>
        <v/>
      </c>
      <c r="BD415" s="103" t="str">
        <f t="shared" si="52"/>
        <v>INDENIZAÇÃO</v>
      </c>
      <c r="BE415" s="103" t="str">
        <f t="shared" si="53"/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customHeight="1">
      <c r="A416" s="165">
        <v>407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6201</v>
      </c>
      <c r="G416" s="103" t="s">
        <v>4330</v>
      </c>
      <c r="H416" s="103" t="s">
        <v>4331</v>
      </c>
      <c r="I416" s="142" t="s">
        <v>4343</v>
      </c>
      <c r="J416" s="150" t="s">
        <v>6202</v>
      </c>
      <c r="K416" s="149" t="s">
        <v>6203</v>
      </c>
      <c r="L416" s="149" t="s">
        <v>6204</v>
      </c>
      <c r="M416" s="103" t="s">
        <v>4333</v>
      </c>
      <c r="N416" s="103" t="s">
        <v>4345</v>
      </c>
      <c r="O416" s="108"/>
      <c r="P416" s="108">
        <v>46031</v>
      </c>
      <c r="Q416" s="105" t="s">
        <v>4436</v>
      </c>
      <c r="R416" s="108">
        <v>46030</v>
      </c>
      <c r="S416" s="108">
        <v>46031</v>
      </c>
      <c r="T416" s="108">
        <v>46036</v>
      </c>
      <c r="U416" s="108">
        <v>46045</v>
      </c>
      <c r="V416" s="108" t="s">
        <v>4437</v>
      </c>
      <c r="W416" s="108" t="s">
        <v>4437</v>
      </c>
      <c r="X416" s="105">
        <v>46055</v>
      </c>
      <c r="Y416" s="105">
        <v>46056</v>
      </c>
      <c r="Z416" s="101"/>
      <c r="AA416" s="112"/>
      <c r="AB416" s="150" t="s">
        <v>6202</v>
      </c>
      <c r="AC416" s="149" t="s">
        <v>6203</v>
      </c>
      <c r="AD416" s="149" t="s">
        <v>6204</v>
      </c>
      <c r="AE416" s="142" t="s">
        <v>4343</v>
      </c>
      <c r="AF416" s="103" t="s">
        <v>4333</v>
      </c>
      <c r="AG416" s="194" t="s">
        <v>4356</v>
      </c>
      <c r="AH416" s="194" t="s">
        <v>4356</v>
      </c>
      <c r="AI416" s="103" t="s">
        <v>4355</v>
      </c>
      <c r="AJ416" s="104" t="s">
        <v>4438</v>
      </c>
      <c r="AK416" s="103"/>
      <c r="AL416" s="103"/>
      <c r="AM416" s="103"/>
      <c r="AN416" s="103"/>
      <c r="AO416" s="112"/>
      <c r="AP416" s="171"/>
      <c r="AQ416" s="112"/>
      <c r="AR416" s="112"/>
      <c r="AS416" s="112"/>
      <c r="AT416" s="112"/>
      <c r="AU416" s="112"/>
      <c r="AV416" s="112"/>
      <c r="AW416" s="112"/>
      <c r="AX416" s="112"/>
      <c r="AY416" s="166"/>
      <c r="AZ416" s="108"/>
      <c r="BA416" s="112"/>
      <c r="BB416" s="112"/>
      <c r="BC416" s="220" t="str">
        <f t="shared" si="51"/>
        <v/>
      </c>
      <c r="BD416" s="103" t="str">
        <f t="shared" si="52"/>
        <v>AA</v>
      </c>
      <c r="BE416" s="103" t="str">
        <f t="shared" si="53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408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6201</v>
      </c>
      <c r="G417" s="112" t="s">
        <v>4330</v>
      </c>
      <c r="H417" s="112" t="s">
        <v>4331</v>
      </c>
      <c r="I417" s="112" t="s">
        <v>4343</v>
      </c>
      <c r="J417" s="150" t="s">
        <v>6205</v>
      </c>
      <c r="K417" s="150" t="s">
        <v>6206</v>
      </c>
      <c r="L417" s="141" t="s">
        <v>6207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105"/>
      <c r="AA417" s="105"/>
      <c r="AB417" s="150" t="s">
        <v>6205</v>
      </c>
      <c r="AC417" s="150" t="s">
        <v>6206</v>
      </c>
      <c r="AD417" s="141" t="s">
        <v>6207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7" t="s">
        <v>6208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12" t="s">
        <v>4338</v>
      </c>
      <c r="AW417" s="109" t="s">
        <v>4453</v>
      </c>
      <c r="AX417" s="109"/>
      <c r="AY417" s="157"/>
      <c r="AZ417" s="157"/>
      <c r="BA417" s="109" t="s">
        <v>4330</v>
      </c>
      <c r="BB417" s="112"/>
      <c r="BC417" s="220" t="str">
        <f t="shared" si="51"/>
        <v/>
      </c>
      <c r="BD417" s="103" t="str">
        <f t="shared" si="52"/>
        <v>INDENIZAÇÃO</v>
      </c>
      <c r="BE417" s="103" t="str">
        <f t="shared" si="53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409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6209</v>
      </c>
      <c r="G418" s="103" t="s">
        <v>4330</v>
      </c>
      <c r="H418" s="103" t="s">
        <v>4331</v>
      </c>
      <c r="I418" s="103" t="s">
        <v>4343</v>
      </c>
      <c r="J418" s="149" t="s">
        <v>6210</v>
      </c>
      <c r="K418" s="149" t="s">
        <v>6211</v>
      </c>
      <c r="L418" s="149" t="s">
        <v>6212</v>
      </c>
      <c r="M418" s="103" t="s">
        <v>4333</v>
      </c>
      <c r="N418" s="103" t="s">
        <v>4345</v>
      </c>
      <c r="O418" s="105">
        <v>46080</v>
      </c>
      <c r="P418" s="105">
        <v>46147</v>
      </c>
      <c r="Q418" s="105" t="s">
        <v>4436</v>
      </c>
      <c r="R418" s="108">
        <v>46136</v>
      </c>
      <c r="S418" s="105">
        <v>46147</v>
      </c>
      <c r="T418" s="108">
        <v>46156</v>
      </c>
      <c r="U418" s="108">
        <v>46168</v>
      </c>
      <c r="V418" s="108" t="s">
        <v>4437</v>
      </c>
      <c r="W418" s="108" t="s">
        <v>4437</v>
      </c>
      <c r="X418" s="155">
        <v>46196</v>
      </c>
      <c r="Y418" s="105">
        <v>46197</v>
      </c>
      <c r="Z418" s="105"/>
      <c r="AA418" s="105"/>
      <c r="AB418" s="149" t="s">
        <v>6210</v>
      </c>
      <c r="AC418" s="149" t="s">
        <v>6211</v>
      </c>
      <c r="AD418" s="149" t="s">
        <v>6212</v>
      </c>
      <c r="AE418" s="103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 t="shared" si="51"/>
        <v/>
      </c>
      <c r="BD418" s="103" t="str">
        <f t="shared" si="52"/>
        <v>AA</v>
      </c>
      <c r="BE418" s="103" t="str">
        <f t="shared" si="53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03">
        <v>410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6213</v>
      </c>
      <c r="G419" s="103" t="s">
        <v>4330</v>
      </c>
      <c r="H419" s="103" t="s">
        <v>4331</v>
      </c>
      <c r="I419" s="142" t="s">
        <v>4343</v>
      </c>
      <c r="J419" s="149" t="s">
        <v>6214</v>
      </c>
      <c r="K419" s="149" t="s">
        <v>6215</v>
      </c>
      <c r="L419" s="149" t="s">
        <v>6216</v>
      </c>
      <c r="M419" s="103" t="s">
        <v>4333</v>
      </c>
      <c r="N419" s="103" t="s">
        <v>4345</v>
      </c>
      <c r="O419" s="105">
        <v>45980</v>
      </c>
      <c r="P419" s="105">
        <v>45986</v>
      </c>
      <c r="Q419" s="105" t="s">
        <v>4436</v>
      </c>
      <c r="R419" s="105">
        <v>45985</v>
      </c>
      <c r="S419" s="105">
        <v>45986</v>
      </c>
      <c r="T419" s="105">
        <v>45987</v>
      </c>
      <c r="U419" s="105">
        <v>45992</v>
      </c>
      <c r="V419" s="105" t="s">
        <v>4437</v>
      </c>
      <c r="W419" s="105" t="s">
        <v>4437</v>
      </c>
      <c r="X419" s="105">
        <v>45999</v>
      </c>
      <c r="Y419" s="105">
        <v>46000</v>
      </c>
      <c r="Z419" s="105"/>
      <c r="AA419" s="103"/>
      <c r="AB419" s="149" t="s">
        <v>6214</v>
      </c>
      <c r="AC419" s="149" t="s">
        <v>6215</v>
      </c>
      <c r="AD419" s="149" t="s">
        <v>6216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212" t="s">
        <v>4355</v>
      </c>
      <c r="AJ419" s="104" t="s">
        <v>4438</v>
      </c>
      <c r="AK419" s="103"/>
      <c r="AL419" s="103"/>
      <c r="AM419" s="103"/>
      <c r="AN419" s="103"/>
      <c r="AO419" s="103"/>
      <c r="AP419" s="171"/>
      <c r="AQ419" s="103"/>
      <c r="AR419" s="103"/>
      <c r="AS419" s="103" t="s">
        <v>4356</v>
      </c>
      <c r="AT419" s="103" t="s">
        <v>4356</v>
      </c>
      <c r="AU419" s="103" t="s">
        <v>4356</v>
      </c>
      <c r="AV419" s="103" t="s">
        <v>4356</v>
      </c>
      <c r="AW419" s="103"/>
      <c r="AX419" s="105"/>
      <c r="AY419" s="166"/>
      <c r="AZ419" s="105"/>
      <c r="BA419" s="103"/>
      <c r="BB419" s="136"/>
      <c r="BC419" s="220" t="str">
        <f t="shared" si="51"/>
        <v/>
      </c>
      <c r="BD419" s="103" t="str">
        <f t="shared" si="52"/>
        <v>AA</v>
      </c>
      <c r="BE419" s="103" t="str">
        <f t="shared" si="53"/>
        <v>NÃO</v>
      </c>
      <c r="BF419" s="140"/>
      <c r="BG419" s="140"/>
      <c r="BH419" s="140"/>
      <c r="BI419" s="140"/>
      <c r="BJ419" s="140"/>
      <c r="BK419" s="140"/>
      <c r="BL419" s="140"/>
      <c r="BM419" s="238"/>
      <c r="BN419" s="99"/>
      <c r="BO419" s="99"/>
      <c r="BP419" s="99"/>
      <c r="BQ419" s="99"/>
      <c r="BR419" s="99"/>
      <c r="BS419" s="99"/>
      <c r="BT419" s="99"/>
      <c r="BU419" s="99"/>
      <c r="BV419" s="99"/>
      <c r="BW419" s="99"/>
      <c r="BX419" s="99"/>
      <c r="BY419" s="99"/>
      <c r="BZ419" s="99"/>
      <c r="CA419" s="99"/>
      <c r="CB419" s="99"/>
      <c r="CC419" s="99"/>
      <c r="CD419" s="99"/>
      <c r="CE419" s="99"/>
      <c r="CF419" s="99"/>
      <c r="CG419" s="99"/>
      <c r="CH419" s="99"/>
      <c r="CI419" s="99"/>
      <c r="CJ419" s="99"/>
      <c r="CK419" s="99"/>
      <c r="CL419" s="99"/>
      <c r="CM419" s="99"/>
      <c r="CN419" s="99"/>
      <c r="CO419" s="99"/>
      <c r="CP419" s="99"/>
      <c r="CQ419" s="99"/>
      <c r="CR419" s="99"/>
      <c r="CS419" s="99"/>
      <c r="CT419" s="99"/>
      <c r="CU419" s="99"/>
      <c r="CV419" s="99"/>
      <c r="CW419" s="99"/>
      <c r="CX419" s="99"/>
      <c r="CY419" s="99"/>
      <c r="CZ419" s="99"/>
      <c r="DA419" s="99"/>
      <c r="DB419" s="99"/>
      <c r="DC419" s="99"/>
    </row>
    <row r="420" spans="1:107" s="232" customFormat="1" ht="29.25" customHeight="1">
      <c r="A420" s="103">
        <v>411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6213</v>
      </c>
      <c r="G420" s="112" t="s">
        <v>4330</v>
      </c>
      <c r="H420" s="112" t="s">
        <v>4331</v>
      </c>
      <c r="I420" s="112" t="s">
        <v>4343</v>
      </c>
      <c r="J420" s="150" t="s">
        <v>6217</v>
      </c>
      <c r="K420" s="150" t="s">
        <v>6218</v>
      </c>
      <c r="L420" s="150" t="s">
        <v>6219</v>
      </c>
      <c r="M420" s="112" t="s">
        <v>4333</v>
      </c>
      <c r="N420" s="112" t="s">
        <v>4334</v>
      </c>
      <c r="O420" s="108">
        <v>46127</v>
      </c>
      <c r="P420" s="105" t="s">
        <v>4356</v>
      </c>
      <c r="Q420" s="105" t="s">
        <v>4356</v>
      </c>
      <c r="R420" s="105" t="s">
        <v>4356</v>
      </c>
      <c r="S420" s="105" t="s">
        <v>4356</v>
      </c>
      <c r="T420" s="105" t="s">
        <v>4356</v>
      </c>
      <c r="U420" s="105" t="s">
        <v>4356</v>
      </c>
      <c r="V420" s="105" t="s">
        <v>4356</v>
      </c>
      <c r="W420" s="105" t="s">
        <v>4356</v>
      </c>
      <c r="X420" s="105" t="s">
        <v>4356</v>
      </c>
      <c r="Y420" s="105" t="s">
        <v>4356</v>
      </c>
      <c r="Z420" s="105"/>
      <c r="AA420" s="105"/>
      <c r="AB420" s="150" t="s">
        <v>6217</v>
      </c>
      <c r="AC420" s="150" t="s">
        <v>6218</v>
      </c>
      <c r="AD420" s="150" t="s">
        <v>6219</v>
      </c>
      <c r="AE420" s="112" t="s">
        <v>4343</v>
      </c>
      <c r="AF420" s="112" t="s">
        <v>4333</v>
      </c>
      <c r="AG420" s="194">
        <v>182371.02</v>
      </c>
      <c r="AH420" s="194">
        <v>182371.02</v>
      </c>
      <c r="AI420" s="165" t="s">
        <v>4447</v>
      </c>
      <c r="AJ420" s="104" t="s">
        <v>4438</v>
      </c>
      <c r="AK420" s="103">
        <v>153979063</v>
      </c>
      <c r="AL420" s="103" t="s">
        <v>4338</v>
      </c>
      <c r="AM420" s="103" t="s">
        <v>4338</v>
      </c>
      <c r="AN420" s="103" t="s">
        <v>4339</v>
      </c>
      <c r="AO420" s="112"/>
      <c r="AP420" s="277" t="s">
        <v>6220</v>
      </c>
      <c r="AQ420" s="259" t="s">
        <v>4338</v>
      </c>
      <c r="AR420" s="112" t="s">
        <v>4338</v>
      </c>
      <c r="AS420" s="112" t="s">
        <v>4338</v>
      </c>
      <c r="AT420" s="112" t="s">
        <v>4338</v>
      </c>
      <c r="AU420" s="105">
        <v>46216</v>
      </c>
      <c r="AV420" s="259" t="s">
        <v>4338</v>
      </c>
      <c r="AW420" s="259" t="s">
        <v>4338</v>
      </c>
      <c r="AX420" s="105">
        <v>46223</v>
      </c>
      <c r="AY420" s="276" t="s">
        <v>4453</v>
      </c>
      <c r="AZ420" s="157"/>
      <c r="BA420" s="109" t="s">
        <v>4330</v>
      </c>
      <c r="BB420" s="112"/>
      <c r="BC420" s="220" t="e">
        <f t="shared" si="51"/>
        <v>#VALUE!</v>
      </c>
      <c r="BD420" s="103" t="str">
        <f t="shared" si="52"/>
        <v>INDENIZAÇÃO</v>
      </c>
      <c r="BE420" s="103" t="str">
        <f t="shared" si="53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customHeight="1">
      <c r="A421" s="103">
        <v>412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6221</v>
      </c>
      <c r="G421" s="103" t="s">
        <v>4330</v>
      </c>
      <c r="H421" s="103" t="s">
        <v>4331</v>
      </c>
      <c r="I421" s="142" t="s">
        <v>4343</v>
      </c>
      <c r="J421" s="149" t="s">
        <v>6222</v>
      </c>
      <c r="K421" s="149" t="s">
        <v>6223</v>
      </c>
      <c r="L421" s="149" t="s">
        <v>6224</v>
      </c>
      <c r="M421" s="103" t="s">
        <v>4333</v>
      </c>
      <c r="N421" s="103" t="s">
        <v>4345</v>
      </c>
      <c r="O421" s="105">
        <v>45996</v>
      </c>
      <c r="P421" s="105">
        <v>46002</v>
      </c>
      <c r="Q421" s="105" t="s">
        <v>4436</v>
      </c>
      <c r="R421" s="105">
        <v>45999</v>
      </c>
      <c r="S421" s="105">
        <v>46006</v>
      </c>
      <c r="T421" s="105">
        <v>46006</v>
      </c>
      <c r="U421" s="105">
        <v>46009</v>
      </c>
      <c r="V421" s="105" t="s">
        <v>4437</v>
      </c>
      <c r="W421" s="105" t="s">
        <v>4437</v>
      </c>
      <c r="X421" s="105">
        <v>46014</v>
      </c>
      <c r="Y421" s="105">
        <v>46017</v>
      </c>
      <c r="Z421" s="105"/>
      <c r="AA421" s="103"/>
      <c r="AB421" s="204" t="s">
        <v>6222</v>
      </c>
      <c r="AC421" s="204" t="s">
        <v>6223</v>
      </c>
      <c r="AD421" s="204" t="s">
        <v>6224</v>
      </c>
      <c r="AE421" s="172" t="s">
        <v>4343</v>
      </c>
      <c r="AF421" s="165" t="s">
        <v>4333</v>
      </c>
      <c r="AG421" s="208" t="s">
        <v>4356</v>
      </c>
      <c r="AH421" s="208" t="s">
        <v>4356</v>
      </c>
      <c r="AI421" s="165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/>
      <c r="AT421" s="103"/>
      <c r="AU421" s="105"/>
      <c r="AV421" s="112"/>
      <c r="AW421" s="103"/>
      <c r="AX421" s="105"/>
      <c r="AY421" s="166"/>
      <c r="AZ421" s="105"/>
      <c r="BA421" s="103"/>
      <c r="BB421" s="136"/>
      <c r="BC421" s="220" t="str">
        <f t="shared" si="51"/>
        <v/>
      </c>
      <c r="BD421" s="103" t="str">
        <f t="shared" si="52"/>
        <v>AA</v>
      </c>
      <c r="BE421" s="103" t="str">
        <f t="shared" si="53"/>
        <v>NÃO</v>
      </c>
      <c r="BF421" s="140"/>
      <c r="BG421" s="140"/>
      <c r="BH421" s="140"/>
      <c r="BI421" s="140"/>
      <c r="BJ421" s="140"/>
      <c r="BK421" s="140"/>
      <c r="BL421" s="140"/>
      <c r="BM421" s="238"/>
    </row>
    <row r="422" spans="1:107" s="232" customFormat="1" ht="29.25" customHeight="1">
      <c r="A422" s="165">
        <v>413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6225</v>
      </c>
      <c r="G422" s="103" t="s">
        <v>4330</v>
      </c>
      <c r="H422" s="103" t="s">
        <v>4342</v>
      </c>
      <c r="I422" s="153" t="s">
        <v>4332</v>
      </c>
      <c r="J422" s="149" t="s">
        <v>6226</v>
      </c>
      <c r="K422" s="149" t="s">
        <v>6227</v>
      </c>
      <c r="L422" s="149" t="s">
        <v>6228</v>
      </c>
      <c r="M422" s="103" t="s">
        <v>4333</v>
      </c>
      <c r="N422" s="103" t="s">
        <v>4459</v>
      </c>
      <c r="O422" s="105">
        <v>46066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49" t="s">
        <v>6226</v>
      </c>
      <c r="AC422" s="149" t="s">
        <v>6227</v>
      </c>
      <c r="AD422" s="149" t="s">
        <v>6228</v>
      </c>
      <c r="AE422" s="153" t="s">
        <v>4332</v>
      </c>
      <c r="AF422" s="103" t="s">
        <v>4333</v>
      </c>
      <c r="AG422" s="194">
        <v>19667.93</v>
      </c>
      <c r="AH422" s="194">
        <f>AG422+30000</f>
        <v>49667.93</v>
      </c>
      <c r="AI422" s="103" t="s">
        <v>4447</v>
      </c>
      <c r="AJ422" s="104" t="s">
        <v>4438</v>
      </c>
      <c r="AK422" s="103">
        <v>150610340</v>
      </c>
      <c r="AL422" s="103" t="s">
        <v>4338</v>
      </c>
      <c r="AM422" s="103" t="s">
        <v>4338</v>
      </c>
      <c r="AN422" s="103" t="s">
        <v>4339</v>
      </c>
      <c r="AO422" s="103"/>
      <c r="AP422" s="171" t="s">
        <v>6229</v>
      </c>
      <c r="AQ422" s="103" t="s">
        <v>4338</v>
      </c>
      <c r="AR422" s="103" t="s">
        <v>4338</v>
      </c>
      <c r="AS422" s="103" t="s">
        <v>4338</v>
      </c>
      <c r="AT422" s="103" t="s">
        <v>4338</v>
      </c>
      <c r="AU422" s="105">
        <v>46127</v>
      </c>
      <c r="AV422" s="103" t="s">
        <v>4338</v>
      </c>
      <c r="AW422" s="103" t="s">
        <v>4338</v>
      </c>
      <c r="AX422" s="105">
        <v>46139</v>
      </c>
      <c r="AY422" s="106">
        <v>46139</v>
      </c>
      <c r="AZ422" s="106" t="s">
        <v>4453</v>
      </c>
      <c r="BA422" s="107" t="s">
        <v>4454</v>
      </c>
      <c r="BB422" s="136" t="s">
        <v>4338</v>
      </c>
      <c r="BC422" s="220">
        <f t="shared" si="51"/>
        <v>73</v>
      </c>
      <c r="BD422" s="103" t="str">
        <f t="shared" si="52"/>
        <v>INDENIZAÇÃO</v>
      </c>
      <c r="BE422" s="103" t="str">
        <f t="shared" si="53"/>
        <v>NÃO</v>
      </c>
      <c r="BF422" s="112" t="s">
        <v>4357</v>
      </c>
      <c r="BG422" s="112" t="s">
        <v>4357</v>
      </c>
      <c r="BH422" s="112" t="s">
        <v>4357</v>
      </c>
      <c r="BI422" s="109" t="s">
        <v>5393</v>
      </c>
      <c r="BJ422" s="109"/>
      <c r="BK422" s="109"/>
      <c r="BL422" s="109"/>
      <c r="BM422" s="239"/>
      <c r="BN422" s="99"/>
      <c r="BO422" s="99"/>
      <c r="BP422" s="99"/>
      <c r="BQ422" s="99"/>
      <c r="BR422" s="99"/>
      <c r="BS422" s="99"/>
      <c r="BT422" s="99"/>
      <c r="BU422" s="99"/>
      <c r="BV422" s="99"/>
      <c r="BW422" s="99"/>
      <c r="BX422" s="99"/>
      <c r="BY422" s="99"/>
      <c r="BZ422" s="99"/>
      <c r="CA422" s="99"/>
      <c r="CB422" s="99"/>
      <c r="CC422" s="99"/>
      <c r="CD422" s="99"/>
      <c r="CE422" s="99"/>
      <c r="CF422" s="99"/>
      <c r="CG422" s="99"/>
      <c r="CH422" s="99"/>
      <c r="CI422" s="99"/>
      <c r="CJ422" s="99"/>
      <c r="CK422" s="99"/>
      <c r="CL422" s="99"/>
      <c r="CM422" s="99"/>
      <c r="CN422" s="99"/>
      <c r="CO422" s="99"/>
      <c r="CP422" s="99"/>
      <c r="CQ422" s="99"/>
      <c r="CR422" s="99"/>
      <c r="CS422" s="99"/>
      <c r="CT422" s="99"/>
      <c r="CU422" s="99"/>
      <c r="CV422" s="99"/>
      <c r="CW422" s="99"/>
      <c r="CX422" s="99"/>
      <c r="CY422" s="99"/>
      <c r="CZ422" s="99"/>
      <c r="DA422" s="99"/>
      <c r="DB422" s="99"/>
      <c r="DC422" s="99"/>
    </row>
    <row r="423" spans="1:107" s="232" customFormat="1" ht="29.25" customHeight="1">
      <c r="A423" s="165">
        <v>414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6225</v>
      </c>
      <c r="G423" s="103" t="s">
        <v>4330</v>
      </c>
      <c r="H423" s="103" t="s">
        <v>4331</v>
      </c>
      <c r="I423" s="98" t="s">
        <v>4343</v>
      </c>
      <c r="J423" s="149" t="s">
        <v>6230</v>
      </c>
      <c r="K423" s="149" t="s">
        <v>6231</v>
      </c>
      <c r="L423" s="149" t="s">
        <v>6232</v>
      </c>
      <c r="M423" s="103" t="s">
        <v>4333</v>
      </c>
      <c r="N423" s="103" t="s">
        <v>4459</v>
      </c>
      <c r="O423" s="105">
        <v>46206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6230</v>
      </c>
      <c r="AC423" s="149" t="s">
        <v>6231</v>
      </c>
      <c r="AD423" s="149" t="s">
        <v>6232</v>
      </c>
      <c r="AE423" s="103" t="s">
        <v>4343</v>
      </c>
      <c r="AF423" s="103" t="s">
        <v>4333</v>
      </c>
      <c r="AG423" s="194">
        <v>77944.53</v>
      </c>
      <c r="AH423" s="194">
        <v>77944.53</v>
      </c>
      <c r="AI423" s="103" t="s">
        <v>4336</v>
      </c>
      <c r="AJ423" s="104" t="s">
        <v>4438</v>
      </c>
      <c r="AK423" s="103">
        <v>156883674</v>
      </c>
      <c r="AL423" s="103" t="s">
        <v>4337</v>
      </c>
      <c r="AM423" s="103" t="s">
        <v>4338</v>
      </c>
      <c r="AN423" s="103" t="s">
        <v>4368</v>
      </c>
      <c r="AO423" s="112"/>
      <c r="AP423" s="171"/>
      <c r="AQ423" s="112"/>
      <c r="AR423" s="112"/>
      <c r="AS423" s="112"/>
      <c r="AT423" s="112"/>
      <c r="AU423" s="112"/>
      <c r="AV423" s="112"/>
      <c r="AW423" s="112"/>
      <c r="AX423" s="112"/>
      <c r="AY423" s="166"/>
      <c r="AZ423" s="108"/>
      <c r="BA423" s="112"/>
      <c r="BB423" s="112"/>
      <c r="BC423" s="220" t="str">
        <f t="shared" si="51"/>
        <v/>
      </c>
      <c r="BD423" s="103" t="str">
        <f t="shared" si="52"/>
        <v>INDENIZAÇÃO</v>
      </c>
      <c r="BE423" s="103" t="str">
        <f t="shared" si="53"/>
        <v>NÃO</v>
      </c>
      <c r="BF423" s="112"/>
      <c r="BG423" s="147"/>
      <c r="BH423" s="147"/>
      <c r="BI423" s="112"/>
      <c r="BJ423" s="112"/>
      <c r="BK423" s="112"/>
      <c r="BL423" s="112"/>
      <c r="BM423" s="236"/>
    </row>
    <row r="424" spans="1:107" s="232" customFormat="1" ht="29.25" customHeight="1">
      <c r="A424" s="165">
        <v>415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6233</v>
      </c>
      <c r="G424" s="103" t="s">
        <v>4330</v>
      </c>
      <c r="H424" s="103" t="s">
        <v>4331</v>
      </c>
      <c r="I424" s="142" t="s">
        <v>4343</v>
      </c>
      <c r="J424" s="149" t="s">
        <v>6234</v>
      </c>
      <c r="K424" s="149" t="s">
        <v>6235</v>
      </c>
      <c r="L424" s="149" t="s">
        <v>6236</v>
      </c>
      <c r="M424" s="103" t="s">
        <v>4333</v>
      </c>
      <c r="N424" s="103" t="s">
        <v>4459</v>
      </c>
      <c r="O424" s="105">
        <v>46048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6234</v>
      </c>
      <c r="AC424" s="149" t="s">
        <v>6235</v>
      </c>
      <c r="AD424" s="149" t="s">
        <v>6236</v>
      </c>
      <c r="AE424" s="103" t="s">
        <v>4343</v>
      </c>
      <c r="AF424" s="103" t="s">
        <v>4333</v>
      </c>
      <c r="AG424" s="194">
        <v>11043.71</v>
      </c>
      <c r="AH424" s="194">
        <f>AG424+30000</f>
        <v>41043.71</v>
      </c>
      <c r="AI424" s="103" t="s">
        <v>4447</v>
      </c>
      <c r="AJ424" s="104" t="s">
        <v>4438</v>
      </c>
      <c r="AK424" s="103">
        <v>150959451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6237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51"/>
        <v>91</v>
      </c>
      <c r="BD424" s="103" t="str">
        <f t="shared" si="52"/>
        <v>INDENIZAÇÃO</v>
      </c>
      <c r="BE424" s="103" t="str">
        <f t="shared" si="53"/>
        <v>NÃO</v>
      </c>
      <c r="BF424" s="112" t="s">
        <v>4357</v>
      </c>
      <c r="BG424" s="112" t="s">
        <v>4357</v>
      </c>
      <c r="BH424" s="112" t="s">
        <v>4357</v>
      </c>
      <c r="BI424" s="109" t="s">
        <v>5393</v>
      </c>
      <c r="BJ424" s="109"/>
      <c r="BK424" s="109"/>
      <c r="BL424" s="109"/>
      <c r="BM424" s="239"/>
    </row>
    <row r="425" spans="1:107" s="232" customFormat="1" ht="29.25" customHeight="1">
      <c r="A425" s="103">
        <v>416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6233</v>
      </c>
      <c r="G425" s="103" t="s">
        <v>4330</v>
      </c>
      <c r="H425" s="103" t="s">
        <v>4331</v>
      </c>
      <c r="I425" s="103" t="s">
        <v>4343</v>
      </c>
      <c r="J425" s="149" t="s">
        <v>6238</v>
      </c>
      <c r="K425" s="149" t="s">
        <v>6239</v>
      </c>
      <c r="L425" s="149" t="s">
        <v>6240</v>
      </c>
      <c r="M425" s="103" t="s">
        <v>4333</v>
      </c>
      <c r="N425" s="103" t="s">
        <v>4345</v>
      </c>
      <c r="O425" s="105">
        <v>46080</v>
      </c>
      <c r="P425" s="105">
        <v>46084</v>
      </c>
      <c r="Q425" s="105" t="s">
        <v>4436</v>
      </c>
      <c r="R425" s="105">
        <v>46083</v>
      </c>
      <c r="S425" s="108">
        <v>46084</v>
      </c>
      <c r="T425" s="108">
        <v>46087</v>
      </c>
      <c r="U425" s="108">
        <v>46090</v>
      </c>
      <c r="V425" s="105" t="s">
        <v>4437</v>
      </c>
      <c r="W425" s="105" t="s">
        <v>4437</v>
      </c>
      <c r="X425" s="105">
        <v>46101</v>
      </c>
      <c r="Y425" s="105">
        <v>46104</v>
      </c>
      <c r="Z425" s="105"/>
      <c r="AA425" s="105"/>
      <c r="AB425" s="149" t="s">
        <v>6238</v>
      </c>
      <c r="AC425" s="149" t="s">
        <v>6239</v>
      </c>
      <c r="AD425" s="149" t="s">
        <v>6240</v>
      </c>
      <c r="AE425" s="142" t="s">
        <v>4343</v>
      </c>
      <c r="AF425" s="103" t="s">
        <v>4333</v>
      </c>
      <c r="AG425" s="194" t="s">
        <v>4356</v>
      </c>
      <c r="AH425" s="194" t="s">
        <v>4356</v>
      </c>
      <c r="AI425" s="103" t="s">
        <v>4355</v>
      </c>
      <c r="AJ425" s="104" t="s">
        <v>4438</v>
      </c>
      <c r="AK425" s="103"/>
      <c r="AL425" s="103"/>
      <c r="AM425" s="103"/>
      <c r="AN425" s="103"/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51"/>
        <v/>
      </c>
      <c r="BD425" s="103" t="str">
        <f t="shared" si="52"/>
        <v>AA</v>
      </c>
      <c r="BE425" s="103" t="str">
        <f t="shared" si="53"/>
        <v>NÃO</v>
      </c>
      <c r="BF425" s="112"/>
      <c r="BG425" s="147"/>
      <c r="BH425" s="147"/>
      <c r="BI425" s="112"/>
      <c r="BJ425" s="112"/>
      <c r="BK425" s="112"/>
      <c r="BL425" s="112"/>
      <c r="BM425" s="236"/>
      <c r="BN425" s="231"/>
      <c r="BO425" s="231"/>
    </row>
    <row r="426" spans="1:107" s="232" customFormat="1" ht="29.25" customHeight="1">
      <c r="A426" s="103">
        <v>417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6241</v>
      </c>
      <c r="G426" s="103" t="s">
        <v>4330</v>
      </c>
      <c r="H426" s="103" t="s">
        <v>4331</v>
      </c>
      <c r="I426" s="142" t="s">
        <v>4440</v>
      </c>
      <c r="J426" s="149" t="s">
        <v>6242</v>
      </c>
      <c r="K426" s="149" t="s">
        <v>6243</v>
      </c>
      <c r="L426" s="149" t="s">
        <v>6244</v>
      </c>
      <c r="M426" s="103" t="s">
        <v>4333</v>
      </c>
      <c r="N426" s="103" t="s">
        <v>4345</v>
      </c>
      <c r="O426" s="105">
        <v>46111</v>
      </c>
      <c r="P426" s="105">
        <v>46002</v>
      </c>
      <c r="Q426" s="105" t="s">
        <v>4436</v>
      </c>
      <c r="R426" s="105">
        <v>45999</v>
      </c>
      <c r="S426" s="105">
        <v>46006</v>
      </c>
      <c r="T426" s="105">
        <v>46006</v>
      </c>
      <c r="U426" s="105">
        <v>46009</v>
      </c>
      <c r="V426" s="105" t="s">
        <v>4437</v>
      </c>
      <c r="W426" s="105" t="s">
        <v>4437</v>
      </c>
      <c r="X426" s="105">
        <v>46014</v>
      </c>
      <c r="Y426" s="105">
        <v>46017</v>
      </c>
      <c r="Z426" s="105"/>
      <c r="AA426" s="103"/>
      <c r="AB426" s="149" t="s">
        <v>6245</v>
      </c>
      <c r="AC426" s="149" t="s">
        <v>6246</v>
      </c>
      <c r="AD426" s="149" t="s">
        <v>6247</v>
      </c>
      <c r="AE426" s="142" t="s">
        <v>4332</v>
      </c>
      <c r="AF426" s="103" t="s">
        <v>4333</v>
      </c>
      <c r="AG426" s="194">
        <v>24255.09</v>
      </c>
      <c r="AH426" s="194">
        <v>24255.09</v>
      </c>
      <c r="AI426" s="103" t="s">
        <v>4447</v>
      </c>
      <c r="AJ426" s="104" t="s">
        <v>4438</v>
      </c>
      <c r="AK426" s="103">
        <v>150610433</v>
      </c>
      <c r="AL426" s="142" t="s">
        <v>4338</v>
      </c>
      <c r="AM426" s="103" t="s">
        <v>4338</v>
      </c>
      <c r="AN426" s="103" t="s">
        <v>4339</v>
      </c>
      <c r="AO426" s="103"/>
      <c r="AP426" s="171" t="s">
        <v>6248</v>
      </c>
      <c r="AQ426" s="143" t="s">
        <v>4338</v>
      </c>
      <c r="AR426" s="143" t="s">
        <v>4338</v>
      </c>
      <c r="AS426" s="103" t="s">
        <v>4338</v>
      </c>
      <c r="AT426" s="103" t="s">
        <v>4338</v>
      </c>
      <c r="AU426" s="105">
        <v>46150</v>
      </c>
      <c r="AV426" s="103" t="s">
        <v>4338</v>
      </c>
      <c r="AW426" s="103" t="s">
        <v>4338</v>
      </c>
      <c r="AX426" s="105">
        <v>46161</v>
      </c>
      <c r="AY426" s="106">
        <v>46161</v>
      </c>
      <c r="AZ426" s="107" t="s">
        <v>4453</v>
      </c>
      <c r="BA426" s="107" t="s">
        <v>4454</v>
      </c>
      <c r="BB426" s="112" t="s">
        <v>4338</v>
      </c>
      <c r="BC426" s="220">
        <f t="shared" si="51"/>
        <v>50</v>
      </c>
      <c r="BD426" s="103" t="str">
        <f t="shared" si="52"/>
        <v>INDENIZAÇÃO</v>
      </c>
      <c r="BE426" s="103" t="str">
        <f t="shared" si="53"/>
        <v>NÃO</v>
      </c>
      <c r="BF426" s="112" t="s">
        <v>4357</v>
      </c>
      <c r="BG426" s="112" t="s">
        <v>4357</v>
      </c>
      <c r="BH426" s="112" t="s">
        <v>4357</v>
      </c>
      <c r="BI426" s="109" t="s">
        <v>5393</v>
      </c>
      <c r="BJ426" s="109"/>
      <c r="BK426" s="109"/>
      <c r="BL426" s="109"/>
      <c r="BM426" s="239"/>
      <c r="BN426" s="231"/>
      <c r="BO426" s="231"/>
    </row>
    <row r="427" spans="1:107" s="232" customFormat="1" ht="29.25" customHeight="1">
      <c r="A427" s="103">
        <v>418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6249</v>
      </c>
      <c r="G427" s="103" t="s">
        <v>4330</v>
      </c>
      <c r="H427" s="103" t="s">
        <v>4331</v>
      </c>
      <c r="I427" s="142" t="s">
        <v>4343</v>
      </c>
      <c r="J427" s="149" t="s">
        <v>6250</v>
      </c>
      <c r="K427" s="149" t="s">
        <v>4432</v>
      </c>
      <c r="L427" s="149" t="s">
        <v>6251</v>
      </c>
      <c r="M427" s="103" t="s">
        <v>4333</v>
      </c>
      <c r="N427" s="103" t="s">
        <v>4459</v>
      </c>
      <c r="O427" s="105">
        <v>46001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6250</v>
      </c>
      <c r="AC427" s="149" t="s">
        <v>4432</v>
      </c>
      <c r="AD427" s="149" t="s">
        <v>6251</v>
      </c>
      <c r="AE427" s="103" t="s">
        <v>4343</v>
      </c>
      <c r="AF427" s="103" t="s">
        <v>4333</v>
      </c>
      <c r="AG427" s="194">
        <v>24160.23</v>
      </c>
      <c r="AH427" s="194">
        <f>AG427+30000</f>
        <v>54160.229999999996</v>
      </c>
      <c r="AI427" s="103" t="s">
        <v>4336</v>
      </c>
      <c r="AJ427" s="104" t="s">
        <v>4438</v>
      </c>
      <c r="AK427" s="103">
        <v>147058442</v>
      </c>
      <c r="AL427" s="103" t="s">
        <v>4338</v>
      </c>
      <c r="AM427" s="103" t="s">
        <v>4338</v>
      </c>
      <c r="AN427" s="103" t="s">
        <v>4339</v>
      </c>
      <c r="AO427" s="103"/>
      <c r="AP427" s="171" t="s">
        <v>6252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46020</v>
      </c>
      <c r="AV427" s="112" t="s">
        <v>4338</v>
      </c>
      <c r="AW427" s="103" t="s">
        <v>4338</v>
      </c>
      <c r="AX427" s="166">
        <v>46024</v>
      </c>
      <c r="AY427" s="106">
        <v>46024</v>
      </c>
      <c r="AZ427" s="157" t="s">
        <v>4453</v>
      </c>
      <c r="BA427" s="107" t="s">
        <v>4454</v>
      </c>
      <c r="BB427" s="136" t="s">
        <v>4338</v>
      </c>
      <c r="BC427" s="220">
        <f t="shared" si="51"/>
        <v>23</v>
      </c>
      <c r="BD427" s="103" t="str">
        <f t="shared" si="52"/>
        <v>INDENIZAÇÃO</v>
      </c>
      <c r="BE427" s="103" t="str">
        <f t="shared" si="53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</row>
    <row r="428" spans="1:107" s="232" customFormat="1" ht="29.25" customHeight="1">
      <c r="A428" s="165">
        <v>419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6253</v>
      </c>
      <c r="G428" s="103" t="s">
        <v>4330</v>
      </c>
      <c r="H428" s="103" t="s">
        <v>4331</v>
      </c>
      <c r="I428" s="142" t="s">
        <v>4343</v>
      </c>
      <c r="J428" s="149" t="s">
        <v>6254</v>
      </c>
      <c r="K428" s="149" t="s">
        <v>6255</v>
      </c>
      <c r="L428" s="149" t="s">
        <v>6256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6254</v>
      </c>
      <c r="AC428" s="149" t="s">
        <v>6255</v>
      </c>
      <c r="AD428" s="149" t="s">
        <v>6256</v>
      </c>
      <c r="AE428" s="103" t="s">
        <v>4343</v>
      </c>
      <c r="AF428" s="103" t="s">
        <v>4333</v>
      </c>
      <c r="AG428" s="194">
        <v>22050.51</v>
      </c>
      <c r="AH428" s="194">
        <f>AG428+30000</f>
        <v>52050.509999999995</v>
      </c>
      <c r="AI428" s="103" t="s">
        <v>4336</v>
      </c>
      <c r="AJ428" s="104" t="s">
        <v>4438</v>
      </c>
      <c r="AK428" s="103">
        <v>147058948</v>
      </c>
      <c r="AL428" s="103" t="s">
        <v>4338</v>
      </c>
      <c r="AM428" s="103" t="s">
        <v>4338</v>
      </c>
      <c r="AN428" s="103" t="s">
        <v>4339</v>
      </c>
      <c r="AO428" s="112"/>
      <c r="AP428" s="171" t="s">
        <v>6257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46009</v>
      </c>
      <c r="AV428" s="112" t="s">
        <v>4338</v>
      </c>
      <c r="AW428" s="103" t="s">
        <v>4338</v>
      </c>
      <c r="AX428" s="111">
        <v>46021</v>
      </c>
      <c r="AY428" s="157">
        <v>46021</v>
      </c>
      <c r="AZ428" s="106" t="s">
        <v>4453</v>
      </c>
      <c r="BA428" s="107" t="s">
        <v>4454</v>
      </c>
      <c r="BB428" s="136" t="s">
        <v>4338</v>
      </c>
      <c r="BC428" s="220">
        <f t="shared" si="51"/>
        <v>20</v>
      </c>
      <c r="BD428" s="103" t="str">
        <f t="shared" si="52"/>
        <v>INDENIZAÇÃO</v>
      </c>
      <c r="BE428" s="103" t="str">
        <f t="shared" si="53"/>
        <v>NÃO</v>
      </c>
      <c r="BF428" s="140" t="s">
        <v>4357</v>
      </c>
      <c r="BG428" s="140" t="s">
        <v>4357</v>
      </c>
      <c r="BH428" s="140" t="s">
        <v>4357</v>
      </c>
      <c r="BI428" s="103" t="s">
        <v>4338</v>
      </c>
      <c r="BJ428" s="103" t="s">
        <v>4338</v>
      </c>
      <c r="BK428" s="105">
        <v>46205</v>
      </c>
      <c r="BL428" s="154" t="s">
        <v>4461</v>
      </c>
      <c r="BM428" s="237"/>
    </row>
    <row r="429" spans="1:107" s="232" customFormat="1" ht="29.25" customHeight="1">
      <c r="A429" s="165">
        <v>420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4440</v>
      </c>
      <c r="J429" s="149" t="s">
        <v>6259</v>
      </c>
      <c r="K429" s="149" t="s">
        <v>6260</v>
      </c>
      <c r="L429" s="149" t="s">
        <v>6261</v>
      </c>
      <c r="M429" s="103" t="s">
        <v>4333</v>
      </c>
      <c r="N429" s="103" t="s">
        <v>4345</v>
      </c>
      <c r="O429" s="105">
        <v>45996</v>
      </c>
      <c r="P429" s="105">
        <v>45986</v>
      </c>
      <c r="Q429" s="108" t="s">
        <v>4436</v>
      </c>
      <c r="R429" s="108">
        <v>45985</v>
      </c>
      <c r="S429" s="108">
        <v>45986</v>
      </c>
      <c r="T429" s="108">
        <v>45987</v>
      </c>
      <c r="U429" s="108">
        <v>45992</v>
      </c>
      <c r="V429" s="105" t="s">
        <v>4437</v>
      </c>
      <c r="W429" s="105" t="s">
        <v>4437</v>
      </c>
      <c r="X429" s="105">
        <v>45999</v>
      </c>
      <c r="Y429" s="105">
        <v>46000</v>
      </c>
      <c r="Z429" s="105"/>
      <c r="AA429" s="103"/>
      <c r="AB429" s="149" t="s">
        <v>6262</v>
      </c>
      <c r="AC429" s="149" t="s">
        <v>6260</v>
      </c>
      <c r="AD429" s="149" t="s">
        <v>6263</v>
      </c>
      <c r="AE429" s="142" t="s">
        <v>4332</v>
      </c>
      <c r="AF429" s="103" t="s">
        <v>4333</v>
      </c>
      <c r="AG429" s="194">
        <v>42929.26</v>
      </c>
      <c r="AH429" s="194">
        <v>42929.26</v>
      </c>
      <c r="AI429" s="103" t="s">
        <v>4346</v>
      </c>
      <c r="AJ429" s="104" t="s">
        <v>4438</v>
      </c>
      <c r="AK429" s="103">
        <v>147059051</v>
      </c>
      <c r="AL429" s="103"/>
      <c r="AM429" s="103"/>
      <c r="AN429" s="103"/>
      <c r="AO429" s="103"/>
      <c r="AP429" s="171"/>
      <c r="AQ429" s="103"/>
      <c r="AR429" s="103"/>
      <c r="AS429" s="103"/>
      <c r="AT429" s="103"/>
      <c r="AU429" s="105"/>
      <c r="AV429" s="112"/>
      <c r="AW429" s="103"/>
      <c r="AX429" s="105"/>
      <c r="AY429" s="166"/>
      <c r="AZ429" s="105"/>
      <c r="BA429" s="103"/>
      <c r="BB429" s="136"/>
      <c r="BC429" s="220" t="str">
        <f t="shared" si="51"/>
        <v/>
      </c>
      <c r="BD429" s="103" t="str">
        <f t="shared" si="52"/>
        <v>INDENIZAÇÃO</v>
      </c>
      <c r="BE429" s="103" t="str">
        <f t="shared" si="53"/>
        <v>NÃO</v>
      </c>
      <c r="BF429" s="140"/>
      <c r="BG429" s="140"/>
      <c r="BH429" s="140"/>
      <c r="BI429" s="140"/>
      <c r="BJ429" s="140"/>
      <c r="BK429" s="140"/>
      <c r="BL429" s="140"/>
      <c r="BM429" s="238"/>
    </row>
    <row r="430" spans="1:107" s="232" customFormat="1" ht="29.25" customHeight="1">
      <c r="A430" s="165">
        <v>421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6264</v>
      </c>
      <c r="G430" s="103" t="s">
        <v>4330</v>
      </c>
      <c r="H430" s="103" t="s">
        <v>4331</v>
      </c>
      <c r="I430" s="142" t="s">
        <v>4343</v>
      </c>
      <c r="J430" s="149" t="s">
        <v>6265</v>
      </c>
      <c r="K430" s="149" t="s">
        <v>6266</v>
      </c>
      <c r="L430" s="149" t="s">
        <v>6267</v>
      </c>
      <c r="M430" s="103" t="s">
        <v>4333</v>
      </c>
      <c r="N430" s="103" t="s">
        <v>4345</v>
      </c>
      <c r="O430" s="105">
        <v>45980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46001</v>
      </c>
      <c r="Z430" s="105"/>
      <c r="AA430" s="103"/>
      <c r="AB430" s="149" t="s">
        <v>6265</v>
      </c>
      <c r="AC430" s="149" t="s">
        <v>6266</v>
      </c>
      <c r="AD430" s="149" t="s">
        <v>6267</v>
      </c>
      <c r="AE430" s="142" t="s">
        <v>4343</v>
      </c>
      <c r="AF430" s="103" t="s">
        <v>4333</v>
      </c>
      <c r="AG430" s="194" t="s">
        <v>4356</v>
      </c>
      <c r="AH430" s="194" t="s">
        <v>4356</v>
      </c>
      <c r="AI430" s="212" t="s">
        <v>4355</v>
      </c>
      <c r="AJ430" s="104" t="s">
        <v>4438</v>
      </c>
      <c r="AK430" s="103"/>
      <c r="AL430" s="103"/>
      <c r="AM430" s="103"/>
      <c r="AN430" s="103"/>
      <c r="AO430" s="103"/>
      <c r="AP430" s="171"/>
      <c r="AQ430" s="103"/>
      <c r="AR430" s="103"/>
      <c r="AS430" s="103" t="s">
        <v>4356</v>
      </c>
      <c r="AT430" s="103" t="s">
        <v>4356</v>
      </c>
      <c r="AU430" s="103" t="s">
        <v>4356</v>
      </c>
      <c r="AV430" s="103" t="s">
        <v>4356</v>
      </c>
      <c r="AW430" s="103"/>
      <c r="AX430" s="105"/>
      <c r="AY430" s="166"/>
      <c r="AZ430" s="105"/>
      <c r="BA430" s="103"/>
      <c r="BB430" s="136"/>
      <c r="BC430" s="220" t="str">
        <f t="shared" si="51"/>
        <v/>
      </c>
      <c r="BD430" s="103" t="str">
        <f t="shared" si="52"/>
        <v>AA</v>
      </c>
      <c r="BE430" s="103" t="str">
        <f t="shared" si="53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03">
        <v>422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6268</v>
      </c>
      <c r="G431" s="103" t="s">
        <v>4330</v>
      </c>
      <c r="H431" s="103" t="s">
        <v>4331</v>
      </c>
      <c r="I431" s="142" t="s">
        <v>4343</v>
      </c>
      <c r="J431" s="149" t="s">
        <v>6269</v>
      </c>
      <c r="K431" s="149" t="s">
        <v>6270</v>
      </c>
      <c r="L431" s="149" t="s">
        <v>6271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8"/>
      <c r="AA431" s="112"/>
      <c r="AB431" s="149" t="s">
        <v>6269</v>
      </c>
      <c r="AC431" s="149" t="s">
        <v>6270</v>
      </c>
      <c r="AD431" s="149" t="s">
        <v>6271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0" t="s">
        <v>4355</v>
      </c>
      <c r="AJ431" s="104" t="s">
        <v>4438</v>
      </c>
      <c r="AK431" s="103"/>
      <c r="AL431" s="103"/>
      <c r="AM431" s="103"/>
      <c r="AN431" s="103"/>
      <c r="AO431" s="112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12"/>
      <c r="AX431" s="112"/>
      <c r="AY431" s="166"/>
      <c r="AZ431" s="105"/>
      <c r="BA431" s="103"/>
      <c r="BB431" s="136"/>
      <c r="BC431" s="220" t="str">
        <f t="shared" si="51"/>
        <v/>
      </c>
      <c r="BD431" s="103" t="str">
        <f t="shared" si="52"/>
        <v>AA</v>
      </c>
      <c r="BE431" s="103" t="str">
        <f t="shared" si="53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423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6272</v>
      </c>
      <c r="G432" s="103" t="s">
        <v>4330</v>
      </c>
      <c r="H432" s="103" t="s">
        <v>4331</v>
      </c>
      <c r="I432" s="142" t="s">
        <v>4343</v>
      </c>
      <c r="J432" s="149" t="s">
        <v>6273</v>
      </c>
      <c r="K432" s="149" t="s">
        <v>4432</v>
      </c>
      <c r="L432" s="149" t="s">
        <v>6274</v>
      </c>
      <c r="M432" s="103" t="s">
        <v>4333</v>
      </c>
      <c r="N432" s="103" t="s">
        <v>4334</v>
      </c>
      <c r="O432" s="105">
        <v>46129</v>
      </c>
      <c r="P432" s="105" t="s">
        <v>4356</v>
      </c>
      <c r="Q432" s="105" t="s">
        <v>4356</v>
      </c>
      <c r="R432" s="105" t="s">
        <v>4356</v>
      </c>
      <c r="S432" s="105" t="s">
        <v>4356</v>
      </c>
      <c r="T432" s="105" t="s">
        <v>4356</v>
      </c>
      <c r="U432" s="105" t="s">
        <v>4356</v>
      </c>
      <c r="V432" s="105" t="s">
        <v>4356</v>
      </c>
      <c r="W432" s="105" t="s">
        <v>4356</v>
      </c>
      <c r="X432" s="105" t="s">
        <v>4356</v>
      </c>
      <c r="Y432" s="105" t="s">
        <v>4356</v>
      </c>
      <c r="Z432" s="105"/>
      <c r="AA432" s="105"/>
      <c r="AB432" s="204" t="s">
        <v>6273</v>
      </c>
      <c r="AC432" s="204" t="s">
        <v>4432</v>
      </c>
      <c r="AD432" s="204" t="s">
        <v>6274</v>
      </c>
      <c r="AE432" s="165" t="s">
        <v>4343</v>
      </c>
      <c r="AF432" s="165" t="s">
        <v>4333</v>
      </c>
      <c r="AG432" s="208">
        <v>8592.5499999999993</v>
      </c>
      <c r="AH432" s="208">
        <v>38592.550000000003</v>
      </c>
      <c r="AI432" s="165" t="s">
        <v>4336</v>
      </c>
      <c r="AJ432" s="104" t="s">
        <v>4438</v>
      </c>
      <c r="AK432" s="103">
        <v>154259494</v>
      </c>
      <c r="AL432" s="103" t="s">
        <v>4338</v>
      </c>
      <c r="AM432" s="103" t="s">
        <v>4338</v>
      </c>
      <c r="AN432" s="103" t="s">
        <v>4339</v>
      </c>
      <c r="AO432" s="103"/>
      <c r="AP432" s="171" t="s">
        <v>6275</v>
      </c>
      <c r="AQ432" s="143" t="s">
        <v>4338</v>
      </c>
      <c r="AR432" s="103" t="s">
        <v>4338</v>
      </c>
      <c r="AS432" s="103" t="s">
        <v>4822</v>
      </c>
      <c r="AT432" s="107" t="s">
        <v>4453</v>
      </c>
      <c r="AU432" s="106"/>
      <c r="AV432" s="109"/>
      <c r="AW432" s="107"/>
      <c r="AX432" s="107"/>
      <c r="AY432" s="157"/>
      <c r="AZ432" s="106"/>
      <c r="BA432" s="107" t="s">
        <v>4330</v>
      </c>
      <c r="BB432" s="136"/>
      <c r="BC432" s="220" t="str">
        <f t="shared" si="51"/>
        <v/>
      </c>
      <c r="BD432" s="103" t="str">
        <f t="shared" si="52"/>
        <v>INDENIZAÇÃO</v>
      </c>
      <c r="BE432" s="103" t="str">
        <f t="shared" si="53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424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6276</v>
      </c>
      <c r="G433" s="103" t="s">
        <v>4330</v>
      </c>
      <c r="H433" s="103" t="s">
        <v>4331</v>
      </c>
      <c r="I433" s="142" t="s">
        <v>4343</v>
      </c>
      <c r="J433" s="149" t="s">
        <v>6277</v>
      </c>
      <c r="K433" s="149" t="s">
        <v>6278</v>
      </c>
      <c r="L433" s="149" t="s">
        <v>6279</v>
      </c>
      <c r="M433" s="103" t="s">
        <v>4333</v>
      </c>
      <c r="N433" s="103" t="s">
        <v>4345</v>
      </c>
      <c r="O433" s="105">
        <v>46001</v>
      </c>
      <c r="P433" s="105">
        <v>46106</v>
      </c>
      <c r="Q433" s="105" t="s">
        <v>4436</v>
      </c>
      <c r="R433" s="105">
        <v>46106</v>
      </c>
      <c r="S433" s="105">
        <v>46107</v>
      </c>
      <c r="T433" s="105">
        <v>46111</v>
      </c>
      <c r="U433" s="105">
        <v>46087</v>
      </c>
      <c r="V433" s="105" t="s">
        <v>4437</v>
      </c>
      <c r="W433" s="105" t="s">
        <v>4437</v>
      </c>
      <c r="X433" s="105">
        <v>46132</v>
      </c>
      <c r="Y433" s="105">
        <v>46129</v>
      </c>
      <c r="Z433" s="108"/>
      <c r="AA433" s="112"/>
      <c r="AB433" s="149" t="s">
        <v>6277</v>
      </c>
      <c r="AC433" s="149" t="s">
        <v>6278</v>
      </c>
      <c r="AD433" s="149" t="s">
        <v>6279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165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12"/>
      <c r="AR433" s="112"/>
      <c r="AS433" s="112"/>
      <c r="AT433" s="112"/>
      <c r="AU433" s="112"/>
      <c r="AV433" s="112"/>
      <c r="AW433" s="112"/>
      <c r="AX433" s="112"/>
      <c r="AY433" s="166"/>
      <c r="AZ433" s="108"/>
      <c r="BA433" s="112"/>
      <c r="BB433" s="112"/>
      <c r="BC433" s="220" t="str">
        <f t="shared" si="51"/>
        <v/>
      </c>
      <c r="BD433" s="103" t="str">
        <f t="shared" si="52"/>
        <v>AA</v>
      </c>
      <c r="BE433" s="103" t="str">
        <f t="shared" si="53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customHeight="1">
      <c r="A434" s="165">
        <v>425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6280</v>
      </c>
      <c r="G434" s="103" t="s">
        <v>4330</v>
      </c>
      <c r="H434" s="103" t="s">
        <v>4331</v>
      </c>
      <c r="I434" s="142" t="s">
        <v>4343</v>
      </c>
      <c r="J434" s="149" t="s">
        <v>6281</v>
      </c>
      <c r="K434" s="149" t="s">
        <v>6282</v>
      </c>
      <c r="L434" s="149" t="s">
        <v>6283</v>
      </c>
      <c r="M434" s="103" t="s">
        <v>4333</v>
      </c>
      <c r="N434" s="103" t="s">
        <v>4345</v>
      </c>
      <c r="O434" s="108">
        <v>45978</v>
      </c>
      <c r="P434" s="105">
        <v>45986</v>
      </c>
      <c r="Q434" s="108" t="s">
        <v>4436</v>
      </c>
      <c r="R434" s="108">
        <v>45985</v>
      </c>
      <c r="S434" s="108">
        <v>45986</v>
      </c>
      <c r="T434" s="108">
        <v>45987</v>
      </c>
      <c r="U434" s="108">
        <v>45992</v>
      </c>
      <c r="V434" s="108" t="s">
        <v>4437</v>
      </c>
      <c r="W434" s="108" t="s">
        <v>4437</v>
      </c>
      <c r="X434" s="105">
        <v>45999</v>
      </c>
      <c r="Y434" s="105">
        <v>46000</v>
      </c>
      <c r="Z434" s="108"/>
      <c r="AA434" s="112"/>
      <c r="AB434" s="149" t="s">
        <v>6281</v>
      </c>
      <c r="AC434" s="149" t="s">
        <v>6282</v>
      </c>
      <c r="AD434" s="149" t="s">
        <v>6283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212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65"/>
      <c r="AR434" s="103"/>
      <c r="AS434" s="103" t="s">
        <v>4356</v>
      </c>
      <c r="AT434" s="103" t="s">
        <v>4356</v>
      </c>
      <c r="AU434" s="103" t="s">
        <v>4356</v>
      </c>
      <c r="AV434" s="103" t="s">
        <v>4356</v>
      </c>
      <c r="AW434" s="112"/>
      <c r="AX434" s="112"/>
      <c r="AY434" s="166"/>
      <c r="AZ434" s="105"/>
      <c r="BA434" s="103"/>
      <c r="BB434" s="136"/>
      <c r="BC434" s="220" t="str">
        <f t="shared" si="51"/>
        <v/>
      </c>
      <c r="BD434" s="103" t="str">
        <f t="shared" si="52"/>
        <v>AA</v>
      </c>
      <c r="BE434" s="103" t="str">
        <f t="shared" si="53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customHeight="1">
      <c r="A435" s="165">
        <v>426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6284</v>
      </c>
      <c r="G435" s="103" t="s">
        <v>4330</v>
      </c>
      <c r="H435" s="103" t="s">
        <v>4331</v>
      </c>
      <c r="I435" s="142" t="s">
        <v>4343</v>
      </c>
      <c r="J435" s="114" t="s">
        <v>6285</v>
      </c>
      <c r="K435" s="149" t="s">
        <v>6286</v>
      </c>
      <c r="L435" s="149" t="s">
        <v>6287</v>
      </c>
      <c r="M435" s="103" t="s">
        <v>4333</v>
      </c>
      <c r="N435" s="103" t="s">
        <v>4345</v>
      </c>
      <c r="O435" s="105">
        <v>45980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5" t="s">
        <v>4437</v>
      </c>
      <c r="W435" s="105" t="s">
        <v>4437</v>
      </c>
      <c r="X435" s="105">
        <v>45999</v>
      </c>
      <c r="Y435" s="105">
        <v>46000</v>
      </c>
      <c r="Z435" s="105"/>
      <c r="AA435" s="103"/>
      <c r="AB435" s="114" t="s">
        <v>6285</v>
      </c>
      <c r="AC435" s="149" t="s">
        <v>6286</v>
      </c>
      <c r="AD435" s="149" t="s">
        <v>6287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0" t="s">
        <v>4355</v>
      </c>
      <c r="AJ435" s="104" t="s">
        <v>4438</v>
      </c>
      <c r="AK435" s="103"/>
      <c r="AL435" s="103"/>
      <c r="AM435" s="103"/>
      <c r="AN435" s="103"/>
      <c r="AO435" s="103"/>
      <c r="AP435" s="171"/>
      <c r="AQ435" s="103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03"/>
      <c r="AX435" s="105"/>
      <c r="AY435" s="166"/>
      <c r="AZ435" s="105"/>
      <c r="BA435" s="103"/>
      <c r="BB435" s="136"/>
      <c r="BC435" s="220" t="str">
        <f t="shared" si="51"/>
        <v/>
      </c>
      <c r="BD435" s="103" t="str">
        <f t="shared" si="52"/>
        <v>AA</v>
      </c>
      <c r="BE435" s="103" t="str">
        <f t="shared" si="53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427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6288</v>
      </c>
      <c r="G436" s="103" t="s">
        <v>4330</v>
      </c>
      <c r="H436" s="103" t="s">
        <v>4331</v>
      </c>
      <c r="I436" s="142" t="s">
        <v>4343</v>
      </c>
      <c r="J436" s="149" t="s">
        <v>6289</v>
      </c>
      <c r="K436" s="149" t="s">
        <v>4457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46010</v>
      </c>
      <c r="Z436" s="105"/>
      <c r="AA436" s="103"/>
      <c r="AB436" s="149" t="s">
        <v>6289</v>
      </c>
      <c r="AC436" s="149" t="s">
        <v>4457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1"/>
        <v/>
      </c>
      <c r="BD436" s="103" t="str">
        <f t="shared" si="52"/>
        <v>AA</v>
      </c>
      <c r="BE436" s="103" t="str">
        <f t="shared" si="53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03">
        <v>428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46050</v>
      </c>
      <c r="P437" s="105">
        <v>46147</v>
      </c>
      <c r="Q437" s="105" t="s">
        <v>4436</v>
      </c>
      <c r="R437" s="108">
        <v>46136</v>
      </c>
      <c r="S437" s="105">
        <v>46147</v>
      </c>
      <c r="T437" s="108">
        <v>46156</v>
      </c>
      <c r="U437" s="108">
        <v>46168</v>
      </c>
      <c r="V437" s="108" t="s">
        <v>4437</v>
      </c>
      <c r="W437" s="108" t="s">
        <v>4437</v>
      </c>
      <c r="X437" s="155">
        <v>46196</v>
      </c>
      <c r="Y437" s="105">
        <v>46196</v>
      </c>
      <c r="Z437" s="105"/>
      <c r="AA437" s="105"/>
      <c r="AB437" s="204" t="s">
        <v>6292</v>
      </c>
      <c r="AC437" s="204" t="s">
        <v>4457</v>
      </c>
      <c r="AD437" s="204" t="s">
        <v>6293</v>
      </c>
      <c r="AE437" s="165" t="s">
        <v>4343</v>
      </c>
      <c r="AF437" s="165" t="s">
        <v>4333</v>
      </c>
      <c r="AG437" s="194" t="s">
        <v>4356</v>
      </c>
      <c r="AH437" s="194" t="s">
        <v>4356</v>
      </c>
      <c r="AI437" s="165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/>
      <c r="AT437" s="103"/>
      <c r="AU437" s="105"/>
      <c r="AV437" s="112"/>
      <c r="AW437" s="103"/>
      <c r="AX437" s="105"/>
      <c r="AY437" s="166"/>
      <c r="AZ437" s="105"/>
      <c r="BA437" s="103"/>
      <c r="BB437" s="136"/>
      <c r="BC437" s="220" t="str">
        <f t="shared" si="51"/>
        <v/>
      </c>
      <c r="BD437" s="103" t="str">
        <f t="shared" si="52"/>
        <v>AA</v>
      </c>
      <c r="BE437" s="103" t="str">
        <f t="shared" si="53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429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6296</v>
      </c>
      <c r="L438" s="149" t="s">
        <v>6297</v>
      </c>
      <c r="M438" s="103" t="s">
        <v>4333</v>
      </c>
      <c r="N438" s="103" t="s">
        <v>4459</v>
      </c>
      <c r="O438" s="105">
        <v>46227</v>
      </c>
      <c r="P438" s="105" t="s">
        <v>4356</v>
      </c>
      <c r="Q438" s="105" t="s">
        <v>4356</v>
      </c>
      <c r="R438" s="105" t="s">
        <v>4356</v>
      </c>
      <c r="S438" s="105" t="s">
        <v>4356</v>
      </c>
      <c r="T438" s="105" t="s">
        <v>4356</v>
      </c>
      <c r="U438" s="105" t="s">
        <v>4356</v>
      </c>
      <c r="V438" s="105" t="s">
        <v>4356</v>
      </c>
      <c r="W438" s="105" t="s">
        <v>4356</v>
      </c>
      <c r="X438" s="105" t="s">
        <v>4356</v>
      </c>
      <c r="Y438" s="105" t="s">
        <v>4356</v>
      </c>
      <c r="Z438" s="105"/>
      <c r="AA438" s="105"/>
      <c r="AB438" s="149" t="s">
        <v>6295</v>
      </c>
      <c r="AC438" s="149" t="s">
        <v>6298</v>
      </c>
      <c r="AD438" s="149" t="s">
        <v>6297</v>
      </c>
      <c r="AE438" s="103" t="s">
        <v>4343</v>
      </c>
      <c r="AF438" s="103" t="s">
        <v>4333</v>
      </c>
      <c r="AG438" s="194">
        <v>136614.56</v>
      </c>
      <c r="AH438" s="194">
        <v>136614.56</v>
      </c>
      <c r="AI438" s="103" t="s">
        <v>4447</v>
      </c>
      <c r="AJ438" s="104" t="s">
        <v>4438</v>
      </c>
      <c r="AK438" s="103">
        <v>151379310</v>
      </c>
      <c r="AL438" s="103" t="s">
        <v>4337</v>
      </c>
      <c r="AM438" s="103" t="s">
        <v>4338</v>
      </c>
      <c r="AN438" s="103" t="s">
        <v>4368</v>
      </c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1"/>
        <v/>
      </c>
      <c r="BD438" s="103" t="str">
        <f t="shared" si="52"/>
        <v>INDENIZAÇÃO</v>
      </c>
      <c r="BE438" s="103" t="str">
        <f t="shared" si="53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430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6299</v>
      </c>
      <c r="G439" s="103" t="s">
        <v>4351</v>
      </c>
      <c r="H439" s="103" t="s">
        <v>4351</v>
      </c>
      <c r="I439" s="153" t="s">
        <v>4332</v>
      </c>
      <c r="J439" s="149" t="s">
        <v>6300</v>
      </c>
      <c r="K439" s="149" t="s">
        <v>6301</v>
      </c>
      <c r="L439" s="149" t="s">
        <v>6302</v>
      </c>
      <c r="M439" s="103" t="s">
        <v>4333</v>
      </c>
      <c r="N439" s="103" t="s">
        <v>4334</v>
      </c>
      <c r="O439" s="105">
        <v>46134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6300</v>
      </c>
      <c r="AC439" s="149" t="s">
        <v>6301</v>
      </c>
      <c r="AD439" s="149" t="s">
        <v>6302</v>
      </c>
      <c r="AE439" s="153" t="s">
        <v>4332</v>
      </c>
      <c r="AF439" s="103" t="s">
        <v>4333</v>
      </c>
      <c r="AG439" s="194"/>
      <c r="AH439" s="194"/>
      <c r="AI439" s="103"/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1"/>
        <v/>
      </c>
      <c r="BD439" s="103" t="str">
        <f t="shared" si="52"/>
        <v>INDENIZAÇÃO</v>
      </c>
      <c r="BE439" s="103" t="str">
        <f t="shared" si="53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65">
        <v>431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246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4345</v>
      </c>
      <c r="O440" s="105">
        <v>45980</v>
      </c>
      <c r="P440" s="105">
        <v>45986</v>
      </c>
      <c r="Q440" s="108" t="s">
        <v>4436</v>
      </c>
      <c r="R440" s="108">
        <v>45985</v>
      </c>
      <c r="S440" s="108">
        <v>45986</v>
      </c>
      <c r="T440" s="108">
        <v>45987</v>
      </c>
      <c r="U440" s="108">
        <v>45992</v>
      </c>
      <c r="V440" s="105" t="s">
        <v>4437</v>
      </c>
      <c r="W440" s="105" t="s">
        <v>4437</v>
      </c>
      <c r="X440" s="105">
        <v>45999</v>
      </c>
      <c r="Y440" s="105">
        <v>46000</v>
      </c>
      <c r="Z440" s="105"/>
      <c r="AA440" s="103"/>
      <c r="AB440" s="149" t="s">
        <v>6304</v>
      </c>
      <c r="AC440" s="149" t="s">
        <v>6305</v>
      </c>
      <c r="AD440" s="149" t="s">
        <v>6306</v>
      </c>
      <c r="AE440" s="142" t="s">
        <v>4343</v>
      </c>
      <c r="AF440" s="103" t="s">
        <v>4333</v>
      </c>
      <c r="AG440" s="194" t="s">
        <v>4356</v>
      </c>
      <c r="AH440" s="194" t="s">
        <v>4356</v>
      </c>
      <c r="AI440" s="212" t="s">
        <v>4355</v>
      </c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 t="s">
        <v>4356</v>
      </c>
      <c r="AT440" s="103" t="s">
        <v>4356</v>
      </c>
      <c r="AU440" s="103" t="s">
        <v>4356</v>
      </c>
      <c r="AV440" s="103" t="s">
        <v>4356</v>
      </c>
      <c r="AW440" s="103"/>
      <c r="AX440" s="105"/>
      <c r="AY440" s="166"/>
      <c r="AZ440" s="105"/>
      <c r="BA440" s="103"/>
      <c r="BB440" s="136"/>
      <c r="BC440" s="220" t="str">
        <f t="shared" si="51"/>
        <v/>
      </c>
      <c r="BD440" s="103" t="str">
        <f t="shared" si="52"/>
        <v>AA</v>
      </c>
      <c r="BE440" s="103" t="str">
        <f t="shared" si="53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432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6307</v>
      </c>
      <c r="G441" s="103" t="s">
        <v>4330</v>
      </c>
      <c r="H441" s="103" t="s">
        <v>4331</v>
      </c>
      <c r="I441" s="142" t="s">
        <v>4343</v>
      </c>
      <c r="J441" s="149" t="s">
        <v>6308</v>
      </c>
      <c r="K441" s="149" t="s">
        <v>6309</v>
      </c>
      <c r="L441" s="149" t="s">
        <v>6310</v>
      </c>
      <c r="M441" s="103" t="s">
        <v>4333</v>
      </c>
      <c r="N441" s="103" t="s">
        <v>4459</v>
      </c>
      <c r="O441" s="105">
        <v>46099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271" t="s">
        <v>6311</v>
      </c>
      <c r="AC441" s="204" t="s">
        <v>6309</v>
      </c>
      <c r="AD441" s="204" t="s">
        <v>6310</v>
      </c>
      <c r="AE441" s="165" t="s">
        <v>4343</v>
      </c>
      <c r="AF441" s="165" t="s">
        <v>4333</v>
      </c>
      <c r="AG441" s="208">
        <v>26596.43</v>
      </c>
      <c r="AH441" s="208">
        <v>56596.43</v>
      </c>
      <c r="AI441" s="165" t="s">
        <v>4336</v>
      </c>
      <c r="AJ441" s="104" t="s">
        <v>4438</v>
      </c>
      <c r="AK441" s="103">
        <v>150610695</v>
      </c>
      <c r="AL441" s="142" t="s">
        <v>4338</v>
      </c>
      <c r="AM441" s="103" t="s">
        <v>4338</v>
      </c>
      <c r="AN441" s="103" t="s">
        <v>4339</v>
      </c>
      <c r="AO441" s="103"/>
      <c r="AP441" s="171" t="s">
        <v>6312</v>
      </c>
      <c r="AQ441" s="103" t="s">
        <v>4338</v>
      </c>
      <c r="AR441" s="103" t="s">
        <v>4338</v>
      </c>
      <c r="AS441" s="103" t="s">
        <v>4338</v>
      </c>
      <c r="AT441" s="103" t="s">
        <v>4338</v>
      </c>
      <c r="AU441" s="105">
        <v>46150</v>
      </c>
      <c r="AV441" s="106" t="s">
        <v>6313</v>
      </c>
      <c r="AW441" s="106"/>
      <c r="AX441" s="106"/>
      <c r="AY441" s="166"/>
      <c r="AZ441" s="106"/>
      <c r="BA441" s="107" t="s">
        <v>4330</v>
      </c>
      <c r="BB441" s="136"/>
      <c r="BC441" s="220" t="str">
        <f t="shared" si="51"/>
        <v/>
      </c>
      <c r="BD441" s="103" t="str">
        <f t="shared" si="52"/>
        <v>INDENIZAÇÃO</v>
      </c>
      <c r="BE441" s="103" t="str">
        <f t="shared" si="53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433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6314</v>
      </c>
      <c r="G442" s="103" t="s">
        <v>4330</v>
      </c>
      <c r="H442" s="103" t="s">
        <v>4342</v>
      </c>
      <c r="I442" s="153" t="s">
        <v>4332</v>
      </c>
      <c r="J442" s="149" t="s">
        <v>6315</v>
      </c>
      <c r="K442" s="149" t="s">
        <v>6316</v>
      </c>
      <c r="L442" s="149" t="s">
        <v>6317</v>
      </c>
      <c r="M442" s="103" t="s">
        <v>4333</v>
      </c>
      <c r="N442" s="103" t="s">
        <v>4459</v>
      </c>
      <c r="O442" s="105">
        <v>46111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81" t="s">
        <v>6315</v>
      </c>
      <c r="AC442" s="149" t="s">
        <v>6316</v>
      </c>
      <c r="AD442" s="149" t="s">
        <v>6317</v>
      </c>
      <c r="AE442" s="153" t="s">
        <v>4332</v>
      </c>
      <c r="AF442" s="103" t="s">
        <v>4333</v>
      </c>
      <c r="AG442" s="194">
        <v>88066.78</v>
      </c>
      <c r="AH442" s="194">
        <v>88066.78</v>
      </c>
      <c r="AI442" s="103" t="s">
        <v>4336</v>
      </c>
      <c r="AJ442" s="104" t="s">
        <v>4438</v>
      </c>
      <c r="AK442" s="103">
        <v>150610887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6318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46153</v>
      </c>
      <c r="AV442" s="103" t="s">
        <v>4338</v>
      </c>
      <c r="AW442" s="103" t="s">
        <v>4338</v>
      </c>
      <c r="AX442" s="105">
        <v>46161</v>
      </c>
      <c r="AY442" s="106">
        <v>46161</v>
      </c>
      <c r="AZ442" s="106" t="s">
        <v>4453</v>
      </c>
      <c r="BA442" s="107" t="s">
        <v>4454</v>
      </c>
      <c r="BB442" s="112" t="s">
        <v>4338</v>
      </c>
      <c r="BC442" s="220">
        <f t="shared" si="51"/>
        <v>50</v>
      </c>
      <c r="BD442" s="103" t="str">
        <f t="shared" si="52"/>
        <v>INDENIZAÇÃO</v>
      </c>
      <c r="BE442" s="103" t="str">
        <f t="shared" si="53"/>
        <v>NÃO</v>
      </c>
      <c r="BF442" s="112" t="s">
        <v>4357</v>
      </c>
      <c r="BG442" s="112" t="s">
        <v>4357</v>
      </c>
      <c r="BH442" s="112" t="s">
        <v>4357</v>
      </c>
      <c r="BI442" s="109" t="s">
        <v>5393</v>
      </c>
      <c r="BJ442" s="109"/>
      <c r="BK442" s="109"/>
      <c r="BL442" s="109"/>
      <c r="BM442" s="239"/>
    </row>
    <row r="443" spans="1:65" s="232" customFormat="1" ht="29.25" customHeight="1">
      <c r="A443" s="103">
        <v>434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6319</v>
      </c>
      <c r="G443" s="103" t="s">
        <v>4330</v>
      </c>
      <c r="H443" s="103" t="s">
        <v>4352</v>
      </c>
      <c r="I443" s="246" t="s">
        <v>4343</v>
      </c>
      <c r="J443" s="149" t="s">
        <v>6320</v>
      </c>
      <c r="K443" s="149" t="s">
        <v>6321</v>
      </c>
      <c r="L443" s="149" t="s">
        <v>6322</v>
      </c>
      <c r="M443" s="103" t="s">
        <v>4333</v>
      </c>
      <c r="N443" s="103" t="s">
        <v>4459</v>
      </c>
      <c r="O443" s="105">
        <v>46045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149" t="s">
        <v>6320</v>
      </c>
      <c r="AC443" s="149" t="s">
        <v>6321</v>
      </c>
      <c r="AD443" s="149" t="s">
        <v>6322</v>
      </c>
      <c r="AE443" s="103" t="s">
        <v>4343</v>
      </c>
      <c r="AF443" s="103" t="s">
        <v>4333</v>
      </c>
      <c r="AG443" s="194">
        <v>52681.2</v>
      </c>
      <c r="AH443" s="194">
        <v>60000</v>
      </c>
      <c r="AI443" s="103" t="s">
        <v>4336</v>
      </c>
      <c r="AJ443" s="104" t="s">
        <v>4438</v>
      </c>
      <c r="AK443" s="103">
        <v>148265516</v>
      </c>
      <c r="AL443" s="103" t="s">
        <v>4338</v>
      </c>
      <c r="AM443" s="103" t="s">
        <v>4338</v>
      </c>
      <c r="AN443" s="103" t="s">
        <v>4339</v>
      </c>
      <c r="AO443" s="103"/>
      <c r="AP443" s="171" t="s">
        <v>6323</v>
      </c>
      <c r="AQ443" s="103" t="s">
        <v>4338</v>
      </c>
      <c r="AR443" s="103" t="s">
        <v>4338</v>
      </c>
      <c r="AS443" s="103" t="s">
        <v>4338</v>
      </c>
      <c r="AT443" s="165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 t="shared" si="51"/>
        <v>116</v>
      </c>
      <c r="BD443" s="103" t="str">
        <f t="shared" si="52"/>
        <v>INDENIZAÇÃO</v>
      </c>
      <c r="BE443" s="103" t="str">
        <f t="shared" si="53"/>
        <v>NÃO</v>
      </c>
      <c r="BF443" s="112" t="s">
        <v>4357</v>
      </c>
      <c r="BG443" s="112" t="s">
        <v>4357</v>
      </c>
      <c r="BH443" s="112" t="s">
        <v>4357</v>
      </c>
      <c r="BI443" s="109" t="s">
        <v>5393</v>
      </c>
      <c r="BJ443" s="109"/>
      <c r="BK443" s="109"/>
      <c r="BL443" s="109"/>
      <c r="BM443" s="239"/>
    </row>
    <row r="444" spans="1:65" s="232" customFormat="1" ht="29.25" customHeight="1">
      <c r="A444" s="103">
        <v>435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6324</v>
      </c>
      <c r="G444" s="103" t="s">
        <v>4330</v>
      </c>
      <c r="H444" s="103" t="s">
        <v>4331</v>
      </c>
      <c r="I444" s="142" t="s">
        <v>4343</v>
      </c>
      <c r="J444" s="149" t="s">
        <v>6325</v>
      </c>
      <c r="K444" s="149" t="s">
        <v>6326</v>
      </c>
      <c r="L444" s="149" t="s">
        <v>6327</v>
      </c>
      <c r="M444" s="103" t="s">
        <v>4333</v>
      </c>
      <c r="N444" s="103" t="s">
        <v>4345</v>
      </c>
      <c r="O444" s="105">
        <v>45980</v>
      </c>
      <c r="P444" s="105">
        <v>45986</v>
      </c>
      <c r="Q444" s="108" t="s">
        <v>4436</v>
      </c>
      <c r="R444" s="108">
        <v>45985</v>
      </c>
      <c r="S444" s="108">
        <v>45986</v>
      </c>
      <c r="T444" s="108">
        <v>45987</v>
      </c>
      <c r="U444" s="108">
        <v>45992</v>
      </c>
      <c r="V444" s="108" t="s">
        <v>4437</v>
      </c>
      <c r="W444" s="108" t="s">
        <v>4437</v>
      </c>
      <c r="X444" s="105">
        <v>45999</v>
      </c>
      <c r="Y444" s="105">
        <v>46000</v>
      </c>
      <c r="Z444" s="108"/>
      <c r="AA444" s="112"/>
      <c r="AB444" s="149" t="s">
        <v>6325</v>
      </c>
      <c r="AC444" s="149" t="s">
        <v>6326</v>
      </c>
      <c r="AD444" s="149" t="s">
        <v>6327</v>
      </c>
      <c r="AE444" s="142" t="s">
        <v>4343</v>
      </c>
      <c r="AF444" s="103" t="s">
        <v>4333</v>
      </c>
      <c r="AG444" s="194" t="s">
        <v>4356</v>
      </c>
      <c r="AH444" s="194" t="s">
        <v>4356</v>
      </c>
      <c r="AI444" s="212" t="s">
        <v>4355</v>
      </c>
      <c r="AJ444" s="104" t="s">
        <v>4438</v>
      </c>
      <c r="AK444" s="103"/>
      <c r="AL444" s="103"/>
      <c r="AM444" s="103"/>
      <c r="AN444" s="103"/>
      <c r="AO444" s="112"/>
      <c r="AP444" s="171"/>
      <c r="AQ444" s="103"/>
      <c r="AR444" s="103"/>
      <c r="AS444" s="103" t="s">
        <v>4356</v>
      </c>
      <c r="AT444" s="165" t="s">
        <v>4356</v>
      </c>
      <c r="AU444" s="103" t="s">
        <v>4356</v>
      </c>
      <c r="AV444" s="103" t="s">
        <v>4356</v>
      </c>
      <c r="AW444" s="112"/>
      <c r="AX444" s="112"/>
      <c r="AY444" s="166"/>
      <c r="AZ444" s="105"/>
      <c r="BA444" s="103"/>
      <c r="BB444" s="136"/>
      <c r="BC444" s="220" t="str">
        <f t="shared" si="51"/>
        <v/>
      </c>
      <c r="BD444" s="103" t="str">
        <f t="shared" si="52"/>
        <v>AA</v>
      </c>
      <c r="BE444" s="103" t="str">
        <f t="shared" si="53"/>
        <v>NÃO</v>
      </c>
      <c r="BF444" s="140"/>
      <c r="BG444" s="140"/>
      <c r="BH444" s="140"/>
      <c r="BI444" s="140"/>
      <c r="BJ444" s="140"/>
      <c r="BK444" s="140"/>
      <c r="BL444" s="140"/>
      <c r="BM444" s="238"/>
    </row>
    <row r="445" spans="1:65" s="232" customFormat="1" ht="29.25" customHeight="1">
      <c r="A445" s="103">
        <v>436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6328</v>
      </c>
      <c r="G445" s="103" t="s">
        <v>4330</v>
      </c>
      <c r="H445" s="103" t="s">
        <v>4331</v>
      </c>
      <c r="I445" s="142" t="s">
        <v>4343</v>
      </c>
      <c r="J445" s="149" t="s">
        <v>6329</v>
      </c>
      <c r="K445" s="149" t="s">
        <v>6330</v>
      </c>
      <c r="L445" s="149" t="s">
        <v>6331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6329</v>
      </c>
      <c r="AC445" s="149" t="s">
        <v>6330</v>
      </c>
      <c r="AD445" s="149" t="s">
        <v>6331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03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1"/>
        <v/>
      </c>
      <c r="BD445" s="103" t="str">
        <f t="shared" si="52"/>
        <v>AA</v>
      </c>
      <c r="BE445" s="103" t="str">
        <f t="shared" si="53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65">
        <v>437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45996</v>
      </c>
      <c r="P446" s="105">
        <v>46002</v>
      </c>
      <c r="Q446" s="105" t="s">
        <v>4436</v>
      </c>
      <c r="R446" s="105">
        <v>45999</v>
      </c>
      <c r="S446" s="105">
        <v>46006</v>
      </c>
      <c r="T446" s="105">
        <v>46006</v>
      </c>
      <c r="U446" s="105">
        <v>46009</v>
      </c>
      <c r="V446" s="105" t="s">
        <v>4437</v>
      </c>
      <c r="W446" s="105" t="s">
        <v>4437</v>
      </c>
      <c r="X446" s="105">
        <v>46014</v>
      </c>
      <c r="Y446" s="105">
        <v>46017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165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12"/>
      <c r="AR446" s="112"/>
      <c r="AS446" s="112"/>
      <c r="AT446" s="112"/>
      <c r="AU446" s="112"/>
      <c r="AV446" s="112"/>
      <c r="AW446" s="112"/>
      <c r="AX446" s="112"/>
      <c r="AY446" s="166"/>
      <c r="AZ446" s="105"/>
      <c r="BA446" s="103"/>
      <c r="BB446" s="136"/>
      <c r="BC446" s="220" t="str">
        <f t="shared" si="51"/>
        <v/>
      </c>
      <c r="BD446" s="103" t="str">
        <f t="shared" si="52"/>
        <v>AA</v>
      </c>
      <c r="BE446" s="103" t="str">
        <f t="shared" si="53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438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5" t="s">
        <v>4437</v>
      </c>
      <c r="W447" s="105" t="s">
        <v>4437</v>
      </c>
      <c r="X447" s="105">
        <v>45999</v>
      </c>
      <c r="Y447" s="105">
        <v>46001</v>
      </c>
      <c r="Z447" s="105"/>
      <c r="AA447" s="103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03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03"/>
      <c r="AX447" s="105"/>
      <c r="AY447" s="166"/>
      <c r="AZ447" s="105"/>
      <c r="BA447" s="103"/>
      <c r="BB447" s="136"/>
      <c r="BC447" s="220" t="str">
        <f t="shared" si="51"/>
        <v/>
      </c>
      <c r="BD447" s="103" t="str">
        <f t="shared" si="52"/>
        <v>AA</v>
      </c>
      <c r="BE447" s="103" t="str">
        <f t="shared" si="53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439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14" t="s">
        <v>6341</v>
      </c>
      <c r="K448" s="149" t="s">
        <v>6342</v>
      </c>
      <c r="L448" s="149" t="s">
        <v>6343</v>
      </c>
      <c r="M448" s="103" t="s">
        <v>4333</v>
      </c>
      <c r="N448" s="103" t="s">
        <v>4459</v>
      </c>
      <c r="O448" s="105">
        <v>46001</v>
      </c>
      <c r="P448" s="105" t="s">
        <v>4356</v>
      </c>
      <c r="Q448" s="105" t="s">
        <v>4356</v>
      </c>
      <c r="R448" s="105" t="s">
        <v>4356</v>
      </c>
      <c r="S448" s="105" t="s">
        <v>4356</v>
      </c>
      <c r="T448" s="105" t="s">
        <v>4356</v>
      </c>
      <c r="U448" s="105" t="s">
        <v>4356</v>
      </c>
      <c r="V448" s="105" t="s">
        <v>4356</v>
      </c>
      <c r="W448" s="105" t="s">
        <v>4356</v>
      </c>
      <c r="X448" s="105" t="s">
        <v>4356</v>
      </c>
      <c r="Y448" s="105" t="s">
        <v>4356</v>
      </c>
      <c r="Z448" s="105"/>
      <c r="AA448" s="105"/>
      <c r="AB448" s="204" t="s">
        <v>6341</v>
      </c>
      <c r="AC448" s="204" t="s">
        <v>6342</v>
      </c>
      <c r="AD448" s="204" t="s">
        <v>6343</v>
      </c>
      <c r="AE448" s="165" t="s">
        <v>4343</v>
      </c>
      <c r="AF448" s="165" t="s">
        <v>4333</v>
      </c>
      <c r="AG448" s="208">
        <v>57756.74</v>
      </c>
      <c r="AH448" s="208">
        <v>60000</v>
      </c>
      <c r="AI448" s="165" t="s">
        <v>4336</v>
      </c>
      <c r="AJ448" s="104" t="s">
        <v>4438</v>
      </c>
      <c r="AK448" s="103">
        <v>147059234</v>
      </c>
      <c r="AL448" s="103" t="s">
        <v>4338</v>
      </c>
      <c r="AM448" s="103" t="s">
        <v>4338</v>
      </c>
      <c r="AN448" s="103" t="s">
        <v>4339</v>
      </c>
      <c r="AO448" s="103"/>
      <c r="AP448" s="171" t="s">
        <v>6344</v>
      </c>
      <c r="AQ448" s="103" t="s">
        <v>4338</v>
      </c>
      <c r="AR448" s="103" t="s">
        <v>4338</v>
      </c>
      <c r="AS448" s="103" t="s">
        <v>4338</v>
      </c>
      <c r="AT448" s="103" t="s">
        <v>4338</v>
      </c>
      <c r="AU448" s="108">
        <v>46024</v>
      </c>
      <c r="AV448" s="112" t="s">
        <v>4338</v>
      </c>
      <c r="AW448" s="103" t="s">
        <v>4338</v>
      </c>
      <c r="AX448" s="111">
        <v>46063</v>
      </c>
      <c r="AY448" s="157">
        <v>46063</v>
      </c>
      <c r="AZ448" s="106" t="s">
        <v>4453</v>
      </c>
      <c r="BA448" s="107" t="s">
        <v>4454</v>
      </c>
      <c r="BB448" s="136" t="s">
        <v>4338</v>
      </c>
      <c r="BC448" s="220">
        <f t="shared" si="51"/>
        <v>62</v>
      </c>
      <c r="BD448" s="103" t="str">
        <f t="shared" si="52"/>
        <v>INDENIZAÇÃO</v>
      </c>
      <c r="BE448" s="103" t="str">
        <f t="shared" si="53"/>
        <v>NÃO</v>
      </c>
      <c r="BF448" s="140" t="s">
        <v>4357</v>
      </c>
      <c r="BG448" s="140" t="s">
        <v>4357</v>
      </c>
      <c r="BH448" s="140" t="s">
        <v>4357</v>
      </c>
      <c r="BI448" s="154" t="s">
        <v>5393</v>
      </c>
      <c r="BJ448" s="154"/>
      <c r="BK448" s="154"/>
      <c r="BL448" s="154"/>
      <c r="BM448" s="237"/>
    </row>
    <row r="449" spans="1:107" s="232" customFormat="1" ht="29.25" customHeight="1">
      <c r="A449" s="103">
        <v>440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6345</v>
      </c>
      <c r="G449" s="103" t="s">
        <v>4330</v>
      </c>
      <c r="H449" s="103" t="s">
        <v>4331</v>
      </c>
      <c r="I449" s="142" t="s">
        <v>4343</v>
      </c>
      <c r="J449" s="114" t="s">
        <v>6346</v>
      </c>
      <c r="K449" s="149" t="s">
        <v>6347</v>
      </c>
      <c r="L449" s="149" t="s">
        <v>6348</v>
      </c>
      <c r="M449" s="103" t="s">
        <v>4333</v>
      </c>
      <c r="N449" s="103" t="s">
        <v>4459</v>
      </c>
      <c r="O449" s="105">
        <v>46077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149" t="s">
        <v>6346</v>
      </c>
      <c r="AC449" s="149" t="s">
        <v>6347</v>
      </c>
      <c r="AD449" s="149" t="s">
        <v>6348</v>
      </c>
      <c r="AE449" s="103" t="s">
        <v>4343</v>
      </c>
      <c r="AF449" s="103" t="s">
        <v>4333</v>
      </c>
      <c r="AG449" s="194">
        <v>30689.66</v>
      </c>
      <c r="AH449" s="194">
        <v>60000</v>
      </c>
      <c r="AI449" s="103" t="s">
        <v>4336</v>
      </c>
      <c r="AJ449" s="104" t="s">
        <v>4438</v>
      </c>
      <c r="AK449" s="103">
        <v>150611129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6349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46127</v>
      </c>
      <c r="AV449" s="103" t="s">
        <v>4338</v>
      </c>
      <c r="AW449" s="103" t="s">
        <v>4338</v>
      </c>
      <c r="AX449" s="105">
        <v>46154</v>
      </c>
      <c r="AY449" s="106">
        <v>46154</v>
      </c>
      <c r="AZ449" s="106" t="s">
        <v>4453</v>
      </c>
      <c r="BA449" s="107" t="s">
        <v>4454</v>
      </c>
      <c r="BB449" s="136" t="s">
        <v>4338</v>
      </c>
      <c r="BC449" s="220">
        <f t="shared" si="51"/>
        <v>77</v>
      </c>
      <c r="BD449" s="103" t="str">
        <f t="shared" si="52"/>
        <v>INDENIZAÇÃO</v>
      </c>
      <c r="BE449" s="103" t="str">
        <f t="shared" si="53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customHeight="1">
      <c r="A450" s="103">
        <v>441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6350</v>
      </c>
      <c r="G450" s="103" t="s">
        <v>4330</v>
      </c>
      <c r="H450" s="103" t="s">
        <v>4331</v>
      </c>
      <c r="I450" s="142" t="s">
        <v>4343</v>
      </c>
      <c r="J450" s="114" t="s">
        <v>6351</v>
      </c>
      <c r="K450" s="149" t="s">
        <v>6352</v>
      </c>
      <c r="L450" s="149" t="s">
        <v>6353</v>
      </c>
      <c r="M450" s="103" t="s">
        <v>4333</v>
      </c>
      <c r="N450" s="103" t="s">
        <v>4345</v>
      </c>
      <c r="O450" s="105">
        <v>45980</v>
      </c>
      <c r="P450" s="105">
        <v>46002</v>
      </c>
      <c r="Q450" s="105" t="s">
        <v>4436</v>
      </c>
      <c r="R450" s="105">
        <v>45999</v>
      </c>
      <c r="S450" s="105">
        <v>46006</v>
      </c>
      <c r="T450" s="105">
        <v>46006</v>
      </c>
      <c r="U450" s="105">
        <v>46009</v>
      </c>
      <c r="V450" s="105" t="s">
        <v>4437</v>
      </c>
      <c r="W450" s="105" t="s">
        <v>4437</v>
      </c>
      <c r="X450" s="105">
        <v>46014</v>
      </c>
      <c r="Y450" s="105">
        <v>46020</v>
      </c>
      <c r="Z450" s="105"/>
      <c r="AA450" s="103"/>
      <c r="AB450" s="149" t="s">
        <v>6351</v>
      </c>
      <c r="AC450" s="149" t="s">
        <v>6352</v>
      </c>
      <c r="AD450" s="149" t="s">
        <v>6353</v>
      </c>
      <c r="AE450" s="142" t="s">
        <v>4343</v>
      </c>
      <c r="AF450" s="103" t="s">
        <v>4333</v>
      </c>
      <c r="AG450" s="194" t="s">
        <v>4356</v>
      </c>
      <c r="AH450" s="194" t="s">
        <v>4356</v>
      </c>
      <c r="AI450" s="103" t="s">
        <v>4355</v>
      </c>
      <c r="AJ450" s="104" t="s">
        <v>4438</v>
      </c>
      <c r="AK450" s="103"/>
      <c r="AL450" s="103"/>
      <c r="AM450" s="103"/>
      <c r="AN450" s="103"/>
      <c r="AO450" s="103"/>
      <c r="AP450" s="171"/>
      <c r="AQ450" s="103"/>
      <c r="AR450" s="103"/>
      <c r="AS450" s="103"/>
      <c r="AT450" s="103"/>
      <c r="AU450" s="105"/>
      <c r="AV450" s="112"/>
      <c r="AW450" s="103"/>
      <c r="AX450" s="105"/>
      <c r="AY450" s="166"/>
      <c r="AZ450" s="105"/>
      <c r="BA450" s="103"/>
      <c r="BB450" s="136"/>
      <c r="BC450" s="220" t="str">
        <f t="shared" si="51"/>
        <v/>
      </c>
      <c r="BD450" s="103" t="str">
        <f t="shared" si="52"/>
        <v>AA</v>
      </c>
      <c r="BE450" s="103" t="str">
        <f t="shared" si="53"/>
        <v>NÃO</v>
      </c>
      <c r="BF450" s="140"/>
      <c r="BG450" s="140"/>
      <c r="BH450" s="140"/>
      <c r="BI450" s="140"/>
      <c r="BJ450" s="140"/>
      <c r="BK450" s="140"/>
      <c r="BL450" s="140"/>
      <c r="BM450" s="238"/>
    </row>
    <row r="451" spans="1:107" s="232" customFormat="1" ht="29.25" customHeight="1">
      <c r="A451" s="103">
        <v>442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6354</v>
      </c>
      <c r="G451" s="103" t="s">
        <v>4330</v>
      </c>
      <c r="H451" s="103" t="s">
        <v>4331</v>
      </c>
      <c r="I451" s="142" t="s">
        <v>4343</v>
      </c>
      <c r="J451" s="149" t="s">
        <v>6355</v>
      </c>
      <c r="K451" s="149" t="s">
        <v>6356</v>
      </c>
      <c r="L451" s="149" t="s">
        <v>6357</v>
      </c>
      <c r="M451" s="103" t="s">
        <v>4333</v>
      </c>
      <c r="N451" s="103" t="s">
        <v>4345</v>
      </c>
      <c r="O451" s="105">
        <v>45980</v>
      </c>
      <c r="P451" s="105">
        <v>45986</v>
      </c>
      <c r="Q451" s="108" t="s">
        <v>4436</v>
      </c>
      <c r="R451" s="108">
        <v>45985</v>
      </c>
      <c r="S451" s="108">
        <v>45986</v>
      </c>
      <c r="T451" s="108">
        <v>45987</v>
      </c>
      <c r="U451" s="108">
        <v>45992</v>
      </c>
      <c r="V451" s="105" t="s">
        <v>4437</v>
      </c>
      <c r="W451" s="105" t="s">
        <v>4437</v>
      </c>
      <c r="X451" s="105">
        <v>45999</v>
      </c>
      <c r="Y451" s="105">
        <v>46002</v>
      </c>
      <c r="Z451" s="105"/>
      <c r="AA451" s="103"/>
      <c r="AB451" s="149" t="s">
        <v>6355</v>
      </c>
      <c r="AC451" s="149" t="s">
        <v>6356</v>
      </c>
      <c r="AD451" s="149" t="s">
        <v>6357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212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 t="s">
        <v>4356</v>
      </c>
      <c r="AT451" s="103" t="s">
        <v>4356</v>
      </c>
      <c r="AU451" s="103" t="s">
        <v>4356</v>
      </c>
      <c r="AV451" s="103" t="s">
        <v>4356</v>
      </c>
      <c r="AW451" s="103"/>
      <c r="AX451" s="105"/>
      <c r="AY451" s="166"/>
      <c r="AZ451" s="105"/>
      <c r="BA451" s="103"/>
      <c r="BB451" s="136"/>
      <c r="BC451" s="220" t="str">
        <f t="shared" si="51"/>
        <v/>
      </c>
      <c r="BD451" s="103" t="str">
        <f t="shared" si="52"/>
        <v>AA</v>
      </c>
      <c r="BE451" s="103" t="str">
        <f t="shared" si="53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65">
        <v>443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49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46000</v>
      </c>
      <c r="Z452" s="108"/>
      <c r="AA452" s="112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0" t="s">
        <v>4355</v>
      </c>
      <c r="AJ452" s="104" t="s">
        <v>4438</v>
      </c>
      <c r="AK452" s="103"/>
      <c r="AL452" s="103"/>
      <c r="AM452" s="103"/>
      <c r="AN452" s="103"/>
      <c r="AO452" s="112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12"/>
      <c r="AX452" s="112"/>
      <c r="AY452" s="166"/>
      <c r="AZ452" s="105"/>
      <c r="BA452" s="103"/>
      <c r="BB452" s="136"/>
      <c r="BC452" s="220" t="str">
        <f t="shared" si="51"/>
        <v/>
      </c>
      <c r="BD452" s="103" t="str">
        <f t="shared" si="52"/>
        <v>AA</v>
      </c>
      <c r="BE452" s="103" t="str">
        <f t="shared" si="53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444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45996</v>
      </c>
      <c r="P453" s="105">
        <v>46002</v>
      </c>
      <c r="Q453" s="105" t="s">
        <v>4436</v>
      </c>
      <c r="R453" s="105">
        <v>45999</v>
      </c>
      <c r="S453" s="105">
        <v>46006</v>
      </c>
      <c r="T453" s="105">
        <v>46006</v>
      </c>
      <c r="U453" s="105">
        <v>46009</v>
      </c>
      <c r="V453" s="105" t="s">
        <v>4437</v>
      </c>
      <c r="W453" s="105" t="s">
        <v>4437</v>
      </c>
      <c r="X453" s="105">
        <v>46014</v>
      </c>
      <c r="Y453" s="105">
        <v>46020</v>
      </c>
      <c r="Z453" s="108"/>
      <c r="AA453" s="112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12"/>
      <c r="AR453" s="112"/>
      <c r="AS453" s="112"/>
      <c r="AT453" s="112"/>
      <c r="AU453" s="112"/>
      <c r="AV453" s="112"/>
      <c r="AW453" s="112"/>
      <c r="AX453" s="112"/>
      <c r="AY453" s="166"/>
      <c r="AZ453" s="105"/>
      <c r="BA453" s="103"/>
      <c r="BB453" s="136"/>
      <c r="BC453" s="220" t="str">
        <f t="shared" si="51"/>
        <v/>
      </c>
      <c r="BD453" s="103" t="str">
        <f t="shared" si="52"/>
        <v>AA</v>
      </c>
      <c r="BE453" s="103" t="str">
        <f t="shared" si="53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445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2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51"/>
        <v/>
      </c>
      <c r="BD454" s="103" t="str">
        <f t="shared" si="52"/>
        <v>AA</v>
      </c>
      <c r="BE454" s="103" t="str">
        <f t="shared" si="53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03">
        <v>446</v>
      </c>
      <c r="B455" s="103" t="s">
        <v>4431</v>
      </c>
      <c r="C455" s="103" t="s">
        <v>4439</v>
      </c>
      <c r="D455" s="103">
        <v>1</v>
      </c>
      <c r="E455" s="103" t="s">
        <v>4432</v>
      </c>
      <c r="F455" s="104" t="s">
        <v>6366</v>
      </c>
      <c r="G455" s="112" t="s">
        <v>4330</v>
      </c>
      <c r="H455" s="112" t="s">
        <v>4331</v>
      </c>
      <c r="I455" s="112" t="s">
        <v>4343</v>
      </c>
      <c r="J455" s="150" t="s">
        <v>6370</v>
      </c>
      <c r="K455" s="150" t="s">
        <v>6371</v>
      </c>
      <c r="L455" s="150" t="s">
        <v>6372</v>
      </c>
      <c r="M455" s="112" t="s">
        <v>4333</v>
      </c>
      <c r="N455" s="112" t="s">
        <v>4334</v>
      </c>
      <c r="O455" s="108">
        <v>46127</v>
      </c>
      <c r="P455" s="105" t="s">
        <v>4356</v>
      </c>
      <c r="Q455" s="105" t="s">
        <v>4356</v>
      </c>
      <c r="R455" s="105" t="s">
        <v>4356</v>
      </c>
      <c r="S455" s="105" t="s">
        <v>4356</v>
      </c>
      <c r="T455" s="105" t="s">
        <v>4356</v>
      </c>
      <c r="U455" s="105" t="s">
        <v>4356</v>
      </c>
      <c r="V455" s="105" t="s">
        <v>4356</v>
      </c>
      <c r="W455" s="105" t="s">
        <v>4356</v>
      </c>
      <c r="X455" s="105" t="s">
        <v>4356</v>
      </c>
      <c r="Y455" s="105" t="s">
        <v>4356</v>
      </c>
      <c r="Z455" s="105"/>
      <c r="AA455" s="105"/>
      <c r="AB455" s="150" t="s">
        <v>6370</v>
      </c>
      <c r="AC455" s="150" t="s">
        <v>6371</v>
      </c>
      <c r="AD455" s="150" t="s">
        <v>6372</v>
      </c>
      <c r="AE455" s="112" t="s">
        <v>4343</v>
      </c>
      <c r="AF455" s="112" t="s">
        <v>4333</v>
      </c>
      <c r="AG455" s="208">
        <v>155748.63</v>
      </c>
      <c r="AH455" s="208">
        <v>155748.63</v>
      </c>
      <c r="AI455" s="165" t="s">
        <v>4447</v>
      </c>
      <c r="AJ455" s="104" t="s">
        <v>4438</v>
      </c>
      <c r="AK455" s="103">
        <v>153979223</v>
      </c>
      <c r="AL455" s="103" t="s">
        <v>4338</v>
      </c>
      <c r="AM455" s="103" t="s">
        <v>4338</v>
      </c>
      <c r="AN455" s="103" t="s">
        <v>4339</v>
      </c>
      <c r="AO455" s="112"/>
      <c r="AP455" s="171" t="s">
        <v>6373</v>
      </c>
      <c r="AQ455" s="259" t="s">
        <v>4338</v>
      </c>
      <c r="AR455" s="112" t="s">
        <v>4338</v>
      </c>
      <c r="AS455" s="103" t="s">
        <v>4822</v>
      </c>
      <c r="AT455" s="107" t="s">
        <v>4453</v>
      </c>
      <c r="AU455" s="109"/>
      <c r="AV455" s="109"/>
      <c r="AW455" s="109"/>
      <c r="AX455" s="109"/>
      <c r="AY455" s="157"/>
      <c r="AZ455" s="157"/>
      <c r="BA455" s="107" t="s">
        <v>4330</v>
      </c>
      <c r="BB455" s="112"/>
      <c r="BC455" s="220" t="str">
        <f t="shared" si="51"/>
        <v/>
      </c>
      <c r="BD455" s="103" t="str">
        <f t="shared" si="52"/>
        <v>INDENIZAÇÃO</v>
      </c>
      <c r="BE455" s="103" t="str">
        <f t="shared" si="53"/>
        <v>NÃO</v>
      </c>
      <c r="BF455" s="112"/>
      <c r="BG455" s="147"/>
      <c r="BH455" s="147"/>
      <c r="BI455" s="112"/>
      <c r="BJ455" s="112"/>
      <c r="BK455" s="112"/>
      <c r="BL455" s="112"/>
      <c r="BM455" s="236"/>
      <c r="BN455" s="99"/>
      <c r="BO455" s="99"/>
      <c r="BP455" s="99"/>
      <c r="BQ455" s="99"/>
      <c r="BR455" s="99"/>
      <c r="BS455" s="99"/>
      <c r="BT455" s="99"/>
      <c r="BU455" s="99"/>
      <c r="BV455" s="99"/>
      <c r="BW455" s="99"/>
      <c r="BX455" s="99"/>
      <c r="BY455" s="99"/>
      <c r="BZ455" s="99"/>
      <c r="CA455" s="99"/>
      <c r="CB455" s="99"/>
      <c r="CC455" s="99"/>
      <c r="CD455" s="99"/>
      <c r="CE455" s="99"/>
      <c r="CF455" s="99"/>
      <c r="CG455" s="99"/>
      <c r="CH455" s="99"/>
      <c r="CI455" s="99"/>
      <c r="CJ455" s="99"/>
      <c r="CK455" s="99"/>
      <c r="CL455" s="99"/>
      <c r="CM455" s="99"/>
      <c r="CN455" s="99"/>
      <c r="CO455" s="99"/>
      <c r="CP455" s="99"/>
      <c r="CQ455" s="99"/>
      <c r="CR455" s="99"/>
      <c r="CS455" s="99"/>
      <c r="CT455" s="99"/>
      <c r="CU455" s="99"/>
      <c r="CV455" s="99"/>
      <c r="CW455" s="99"/>
      <c r="CX455" s="99"/>
      <c r="CY455" s="99"/>
      <c r="CZ455" s="99"/>
      <c r="DA455" s="99"/>
      <c r="DB455" s="99"/>
      <c r="DC455" s="99"/>
    </row>
    <row r="456" spans="1:107" s="232" customFormat="1" ht="29.25" customHeight="1">
      <c r="A456" s="103">
        <v>447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03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4459</v>
      </c>
      <c r="O456" s="105">
        <v>46080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204" t="s">
        <v>6375</v>
      </c>
      <c r="AC456" s="204" t="s">
        <v>6376</v>
      </c>
      <c r="AD456" s="204" t="s">
        <v>6377</v>
      </c>
      <c r="AE456" s="165" t="s">
        <v>4343</v>
      </c>
      <c r="AF456" s="165" t="s">
        <v>4333</v>
      </c>
      <c r="AG456" s="208"/>
      <c r="AH456" s="208"/>
      <c r="AI456" s="165"/>
      <c r="AJ456" s="104" t="s">
        <v>4438</v>
      </c>
      <c r="AK456" s="103"/>
      <c r="AL456" s="103"/>
      <c r="AM456" s="103"/>
      <c r="AN456" s="103"/>
      <c r="AO456" s="112"/>
      <c r="AP456" s="171"/>
      <c r="AQ456" s="112"/>
      <c r="AR456" s="112"/>
      <c r="AS456" s="112"/>
      <c r="AT456" s="112"/>
      <c r="AU456" s="112"/>
      <c r="AV456" s="112"/>
      <c r="AW456" s="112"/>
      <c r="AX456" s="112"/>
      <c r="AY456" s="166"/>
      <c r="AZ456" s="108"/>
      <c r="BA456" s="112"/>
      <c r="BB456" s="112"/>
      <c r="BC456" s="220" t="str">
        <f t="shared" si="51"/>
        <v/>
      </c>
      <c r="BD456" s="103" t="str">
        <f t="shared" si="52"/>
        <v>INDENIZAÇÃO</v>
      </c>
      <c r="BE456" s="103" t="str">
        <f t="shared" si="53"/>
        <v>NÃO</v>
      </c>
      <c r="BF456" s="112"/>
      <c r="BG456" s="147"/>
      <c r="BH456" s="147"/>
      <c r="BI456" s="112"/>
      <c r="BJ456" s="112"/>
      <c r="BK456" s="112"/>
      <c r="BL456" s="112"/>
      <c r="BM456" s="236"/>
    </row>
    <row r="457" spans="1:107" s="232" customFormat="1" ht="29.25" customHeight="1">
      <c r="A457" s="103">
        <v>448</v>
      </c>
      <c r="B457" s="103" t="s">
        <v>4431</v>
      </c>
      <c r="C457" s="103" t="s">
        <v>4448</v>
      </c>
      <c r="D457" s="103">
        <v>1</v>
      </c>
      <c r="E457" s="103" t="s">
        <v>4432</v>
      </c>
      <c r="F457" s="104" t="s">
        <v>6374</v>
      </c>
      <c r="G457" s="103" t="s">
        <v>4330</v>
      </c>
      <c r="H457" s="103" t="s">
        <v>4331</v>
      </c>
      <c r="I457" s="142" t="s">
        <v>4343</v>
      </c>
      <c r="J457" s="149" t="s">
        <v>6378</v>
      </c>
      <c r="K457" s="149" t="s">
        <v>6379</v>
      </c>
      <c r="L457" s="149" t="s">
        <v>6380</v>
      </c>
      <c r="M457" s="103" t="s">
        <v>4333</v>
      </c>
      <c r="N457" s="103" t="s">
        <v>4345</v>
      </c>
      <c r="O457" s="105">
        <v>45980</v>
      </c>
      <c r="P457" s="105">
        <v>45986</v>
      </c>
      <c r="Q457" s="108" t="s">
        <v>4436</v>
      </c>
      <c r="R457" s="108">
        <v>45985</v>
      </c>
      <c r="S457" s="108">
        <v>45986</v>
      </c>
      <c r="T457" s="108">
        <v>45987</v>
      </c>
      <c r="U457" s="108">
        <v>45992</v>
      </c>
      <c r="V457" s="105" t="s">
        <v>4437</v>
      </c>
      <c r="W457" s="105" t="s">
        <v>4437</v>
      </c>
      <c r="X457" s="105">
        <v>45999</v>
      </c>
      <c r="Y457" s="105">
        <v>46002</v>
      </c>
      <c r="Z457" s="105"/>
      <c r="AA457" s="103"/>
      <c r="AB457" s="149" t="s">
        <v>6378</v>
      </c>
      <c r="AC457" s="149" t="s">
        <v>6379</v>
      </c>
      <c r="AD457" s="149" t="s">
        <v>6380</v>
      </c>
      <c r="AE457" s="142" t="s">
        <v>4343</v>
      </c>
      <c r="AF457" s="103" t="s">
        <v>4333</v>
      </c>
      <c r="AG457" s="194" t="s">
        <v>4356</v>
      </c>
      <c r="AH457" s="194" t="s">
        <v>4356</v>
      </c>
      <c r="AI457" s="212" t="s">
        <v>4355</v>
      </c>
      <c r="AJ457" s="104" t="s">
        <v>4438</v>
      </c>
      <c r="AK457" s="103"/>
      <c r="AL457" s="103"/>
      <c r="AM457" s="103"/>
      <c r="AN457" s="103"/>
      <c r="AO457" s="103"/>
      <c r="AP457" s="171"/>
      <c r="AQ457" s="103"/>
      <c r="AR457" s="103"/>
      <c r="AS457" s="103" t="s">
        <v>4356</v>
      </c>
      <c r="AT457" s="103" t="s">
        <v>4356</v>
      </c>
      <c r="AU457" s="103" t="s">
        <v>4356</v>
      </c>
      <c r="AV457" s="103" t="s">
        <v>4356</v>
      </c>
      <c r="AW457" s="103"/>
      <c r="AX457" s="105"/>
      <c r="AY457" s="166"/>
      <c r="AZ457" s="105"/>
      <c r="BA457" s="103"/>
      <c r="BB457" s="136"/>
      <c r="BC457" s="220" t="str">
        <f t="shared" si="51"/>
        <v/>
      </c>
      <c r="BD457" s="103" t="str">
        <f t="shared" si="52"/>
        <v>AA</v>
      </c>
      <c r="BE457" s="103" t="str">
        <f t="shared" si="53"/>
        <v>NÃO</v>
      </c>
      <c r="BF457" s="140"/>
      <c r="BG457" s="140"/>
      <c r="BH457" s="140"/>
      <c r="BI457" s="140"/>
      <c r="BJ457" s="140"/>
      <c r="BK457" s="140"/>
      <c r="BL457" s="140"/>
      <c r="BM457" s="238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customHeight="1">
      <c r="A458" s="165">
        <v>449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6381</v>
      </c>
      <c r="G458" s="103" t="s">
        <v>4330</v>
      </c>
      <c r="H458" s="103" t="s">
        <v>4331</v>
      </c>
      <c r="I458" s="103" t="s">
        <v>4343</v>
      </c>
      <c r="J458" s="149" t="s">
        <v>4572</v>
      </c>
      <c r="K458" s="149" t="s">
        <v>4573</v>
      </c>
      <c r="L458" s="149" t="s">
        <v>4574</v>
      </c>
      <c r="M458" s="103" t="s">
        <v>4333</v>
      </c>
      <c r="N458" s="103" t="s">
        <v>4345</v>
      </c>
      <c r="O458" s="105">
        <v>46080</v>
      </c>
      <c r="P458" s="105">
        <v>46084</v>
      </c>
      <c r="Q458" s="105" t="s">
        <v>4436</v>
      </c>
      <c r="R458" s="105">
        <v>46083</v>
      </c>
      <c r="S458" s="108">
        <v>46084</v>
      </c>
      <c r="T458" s="108">
        <v>46087</v>
      </c>
      <c r="U458" s="108">
        <v>46090</v>
      </c>
      <c r="V458" s="105" t="s">
        <v>4437</v>
      </c>
      <c r="W458" s="105" t="s">
        <v>4437</v>
      </c>
      <c r="X458" s="105">
        <v>46101</v>
      </c>
      <c r="Y458" s="105">
        <v>46104</v>
      </c>
      <c r="Z458" s="105"/>
      <c r="AA458" s="105"/>
      <c r="AB458" s="149" t="s">
        <v>4572</v>
      </c>
      <c r="AC458" s="149" t="s">
        <v>4573</v>
      </c>
      <c r="AD458" s="149" t="s">
        <v>4574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165" t="s">
        <v>4355</v>
      </c>
      <c r="AJ458" s="104" t="s">
        <v>4438</v>
      </c>
      <c r="AK458" s="103"/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51"/>
        <v/>
      </c>
      <c r="BD458" s="103" t="str">
        <f t="shared" si="52"/>
        <v>AA</v>
      </c>
      <c r="BE458" s="103" t="str">
        <f t="shared" si="53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customHeight="1">
      <c r="A459" s="165">
        <v>450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6381</v>
      </c>
      <c r="G459" s="103" t="s">
        <v>4330</v>
      </c>
      <c r="H459" s="103" t="s">
        <v>4331</v>
      </c>
      <c r="I459" s="142" t="s">
        <v>4343</v>
      </c>
      <c r="J459" s="149" t="s">
        <v>6382</v>
      </c>
      <c r="K459" s="149" t="s">
        <v>6383</v>
      </c>
      <c r="L459" s="149" t="s">
        <v>6384</v>
      </c>
      <c r="M459" s="103" t="s">
        <v>4333</v>
      </c>
      <c r="N459" s="103" t="s">
        <v>4459</v>
      </c>
      <c r="O459" s="105">
        <v>46147</v>
      </c>
      <c r="P459" s="105" t="s">
        <v>4356</v>
      </c>
      <c r="Q459" s="105" t="s">
        <v>4356</v>
      </c>
      <c r="R459" s="105" t="s">
        <v>4356</v>
      </c>
      <c r="S459" s="105" t="s">
        <v>4356</v>
      </c>
      <c r="T459" s="105" t="s">
        <v>4356</v>
      </c>
      <c r="U459" s="105" t="s">
        <v>4356</v>
      </c>
      <c r="V459" s="105" t="s">
        <v>4356</v>
      </c>
      <c r="W459" s="105" t="s">
        <v>4356</v>
      </c>
      <c r="X459" s="105" t="s">
        <v>4356</v>
      </c>
      <c r="Y459" s="105" t="s">
        <v>4356</v>
      </c>
      <c r="Z459" s="105"/>
      <c r="AA459" s="105"/>
      <c r="AB459" s="204" t="s">
        <v>6382</v>
      </c>
      <c r="AC459" s="204" t="s">
        <v>6383</v>
      </c>
      <c r="AD459" s="204" t="s">
        <v>6384</v>
      </c>
      <c r="AE459" s="165" t="s">
        <v>4343</v>
      </c>
      <c r="AF459" s="165" t="s">
        <v>4333</v>
      </c>
      <c r="AG459" s="208" t="s">
        <v>6385</v>
      </c>
      <c r="AH459" s="208" t="s">
        <v>6386</v>
      </c>
      <c r="AI459" s="165" t="s">
        <v>4336</v>
      </c>
      <c r="AJ459" s="104" t="s">
        <v>4438</v>
      </c>
      <c r="AK459" s="103">
        <v>150611486</v>
      </c>
      <c r="AL459" s="103" t="s">
        <v>4338</v>
      </c>
      <c r="AM459" s="103" t="s">
        <v>4338</v>
      </c>
      <c r="AN459" s="103" t="s">
        <v>4339</v>
      </c>
      <c r="AO459" s="103"/>
      <c r="AP459" s="171" t="s">
        <v>6387</v>
      </c>
      <c r="AQ459" s="143" t="s">
        <v>4338</v>
      </c>
      <c r="AR459" s="103" t="s">
        <v>4338</v>
      </c>
      <c r="AS459" s="103" t="s">
        <v>4822</v>
      </c>
      <c r="AT459" s="107" t="s">
        <v>4453</v>
      </c>
      <c r="AU459" s="106"/>
      <c r="AV459" s="109"/>
      <c r="AW459" s="107"/>
      <c r="AX459" s="106"/>
      <c r="AY459" s="157"/>
      <c r="AZ459" s="106"/>
      <c r="BA459" s="107" t="s">
        <v>4330</v>
      </c>
      <c r="BB459" s="136"/>
      <c r="BC459" s="220" t="str">
        <f t="shared" si="51"/>
        <v/>
      </c>
      <c r="BD459" s="103" t="str">
        <f t="shared" si="52"/>
        <v>INDENIZAÇÃO</v>
      </c>
      <c r="BE459" s="103" t="str">
        <f t="shared" si="53"/>
        <v>NÃO</v>
      </c>
      <c r="BF459" s="140"/>
      <c r="BG459" s="140"/>
      <c r="BH459" s="140"/>
      <c r="BI459" s="140"/>
      <c r="BJ459" s="140"/>
      <c r="BK459" s="140"/>
      <c r="BL459" s="140"/>
      <c r="BM459" s="238"/>
    </row>
    <row r="460" spans="1:107" s="232" customFormat="1" ht="29.25" customHeight="1">
      <c r="A460" s="165">
        <v>451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6388</v>
      </c>
      <c r="G460" s="103" t="s">
        <v>4330</v>
      </c>
      <c r="H460" s="103" t="s">
        <v>4331</v>
      </c>
      <c r="I460" s="142" t="s">
        <v>4343</v>
      </c>
      <c r="J460" s="149" t="s">
        <v>6389</v>
      </c>
      <c r="K460" s="149" t="s">
        <v>6390</v>
      </c>
      <c r="L460" s="149" t="s">
        <v>6391</v>
      </c>
      <c r="M460" s="103" t="s">
        <v>4333</v>
      </c>
      <c r="N460" s="103" t="s">
        <v>4345</v>
      </c>
      <c r="O460" s="105"/>
      <c r="P460" s="105">
        <v>46176</v>
      </c>
      <c r="Q460" s="105" t="s">
        <v>4436</v>
      </c>
      <c r="R460" s="105">
        <v>46174</v>
      </c>
      <c r="S460" s="105">
        <v>46176</v>
      </c>
      <c r="T460" s="105">
        <v>46202</v>
      </c>
      <c r="U460" s="105">
        <v>46204</v>
      </c>
      <c r="V460" s="105" t="s">
        <v>4437</v>
      </c>
      <c r="W460" s="105" t="s">
        <v>4437</v>
      </c>
      <c r="X460" s="105">
        <v>46223</v>
      </c>
      <c r="Y460" s="105"/>
      <c r="Z460" s="105"/>
      <c r="AA460" s="105"/>
      <c r="AB460" s="204"/>
      <c r="AC460" s="204"/>
      <c r="AD460" s="204"/>
      <c r="AE460" s="165"/>
      <c r="AF460" s="165"/>
      <c r="AG460" s="208"/>
      <c r="AH460" s="208"/>
      <c r="AI460" s="165"/>
      <c r="AJ460" s="104" t="s">
        <v>4438</v>
      </c>
      <c r="AK460" s="103"/>
      <c r="AL460" s="103"/>
      <c r="AM460" s="103"/>
      <c r="AN460" s="103"/>
      <c r="AO460" s="103"/>
      <c r="AP460" s="171"/>
      <c r="AQ460" s="143"/>
      <c r="AR460" s="103"/>
      <c r="AS460" s="103"/>
      <c r="AT460" s="103"/>
      <c r="AU460" s="105"/>
      <c r="AV460" s="112"/>
      <c r="AW460" s="103"/>
      <c r="AX460" s="105"/>
      <c r="AY460" s="166"/>
      <c r="AZ460" s="105"/>
      <c r="BA460" s="103"/>
      <c r="BB460" s="136"/>
      <c r="BC460" s="220"/>
      <c r="BD460" s="103"/>
      <c r="BE460" s="103"/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03">
        <v>452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6392</v>
      </c>
      <c r="G461" s="103" t="s">
        <v>4330</v>
      </c>
      <c r="H461" s="103" t="s">
        <v>4331</v>
      </c>
      <c r="I461" s="142" t="s">
        <v>4343</v>
      </c>
      <c r="J461" s="149" t="s">
        <v>6393</v>
      </c>
      <c r="K461" s="149" t="s">
        <v>6394</v>
      </c>
      <c r="L461" s="149" t="s">
        <v>6395</v>
      </c>
      <c r="M461" s="103" t="s">
        <v>4333</v>
      </c>
      <c r="N461" s="103" t="s">
        <v>4345</v>
      </c>
      <c r="O461" s="105">
        <v>45980</v>
      </c>
      <c r="P461" s="105">
        <v>45986</v>
      </c>
      <c r="Q461" s="108" t="s">
        <v>4436</v>
      </c>
      <c r="R461" s="108">
        <v>45985</v>
      </c>
      <c r="S461" s="108">
        <v>45986</v>
      </c>
      <c r="T461" s="108">
        <v>45987</v>
      </c>
      <c r="U461" s="108">
        <v>45992</v>
      </c>
      <c r="V461" s="105" t="s">
        <v>4437</v>
      </c>
      <c r="W461" s="105" t="s">
        <v>4437</v>
      </c>
      <c r="X461" s="105">
        <v>45999</v>
      </c>
      <c r="Y461" s="105">
        <v>46003</v>
      </c>
      <c r="Z461" s="105"/>
      <c r="AA461" s="103"/>
      <c r="AB461" s="149" t="s">
        <v>6393</v>
      </c>
      <c r="AC461" s="149" t="s">
        <v>6394</v>
      </c>
      <c r="AD461" s="149" t="s">
        <v>6395</v>
      </c>
      <c r="AE461" s="142" t="s">
        <v>4343</v>
      </c>
      <c r="AF461" s="103" t="s">
        <v>4333</v>
      </c>
      <c r="AG461" s="194" t="s">
        <v>4356</v>
      </c>
      <c r="AH461" s="194" t="s">
        <v>4356</v>
      </c>
      <c r="AI461" s="212" t="s">
        <v>4355</v>
      </c>
      <c r="AJ461" s="104" t="s">
        <v>4438</v>
      </c>
      <c r="AK461" s="103"/>
      <c r="AL461" s="103"/>
      <c r="AM461" s="103"/>
      <c r="AN461" s="103"/>
      <c r="AO461" s="103"/>
      <c r="AP461" s="171"/>
      <c r="AQ461" s="103"/>
      <c r="AR461" s="103"/>
      <c r="AS461" s="103" t="s">
        <v>4356</v>
      </c>
      <c r="AT461" s="103" t="s">
        <v>4356</v>
      </c>
      <c r="AU461" s="103" t="s">
        <v>4356</v>
      </c>
      <c r="AV461" s="103" t="s">
        <v>4356</v>
      </c>
      <c r="AW461" s="103"/>
      <c r="AX461" s="105"/>
      <c r="AY461" s="166"/>
      <c r="AZ461" s="105"/>
      <c r="BA461" s="103"/>
      <c r="BB461" s="136"/>
      <c r="BC461" s="220" t="str">
        <f t="shared" ref="BC461:BC474" si="54">IF(AY461-KD461=0,"",AY461-O461)</f>
        <v/>
      </c>
      <c r="BD461" s="103" t="str">
        <f t="shared" ref="BD461:BD474" si="55">IF(AND(AI461&lt;&gt;"SIM",AI461="UH"),"AA","INDENIZAÇÃO")</f>
        <v>AA</v>
      </c>
      <c r="BE461" s="103" t="str">
        <f t="shared" ref="BE461:BE474" si="56">IF(AND(AY461&lt;&gt;"AGUARDANDO",AY461&lt;&gt;"",N461="AUXÍLIO ALUGUEL ATÉ INDENIZAÇÃO"),"SIM","NÃO")</f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453</v>
      </c>
      <c r="B462" s="103" t="s">
        <v>4431</v>
      </c>
      <c r="C462" s="103" t="s">
        <v>4439</v>
      </c>
      <c r="D462" s="103">
        <v>1</v>
      </c>
      <c r="E462" s="103" t="s">
        <v>4432</v>
      </c>
      <c r="F462" s="104" t="s">
        <v>6392</v>
      </c>
      <c r="G462" s="103" t="s">
        <v>4330</v>
      </c>
      <c r="H462" s="103" t="s">
        <v>4331</v>
      </c>
      <c r="I462" s="103" t="s">
        <v>4343</v>
      </c>
      <c r="J462" s="149" t="s">
        <v>6396</v>
      </c>
      <c r="K462" s="149" t="s">
        <v>6397</v>
      </c>
      <c r="L462" s="149" t="s">
        <v>6398</v>
      </c>
      <c r="M462" s="103" t="s">
        <v>4333</v>
      </c>
      <c r="N462" s="103" t="s">
        <v>4459</v>
      </c>
      <c r="O462" s="105">
        <v>46080</v>
      </c>
      <c r="P462" s="105" t="s">
        <v>4356</v>
      </c>
      <c r="Q462" s="105" t="s">
        <v>4356</v>
      </c>
      <c r="R462" s="105" t="s">
        <v>4356</v>
      </c>
      <c r="S462" s="105" t="s">
        <v>4356</v>
      </c>
      <c r="T462" s="105" t="s">
        <v>4356</v>
      </c>
      <c r="U462" s="105" t="s">
        <v>4356</v>
      </c>
      <c r="V462" s="105" t="s">
        <v>4356</v>
      </c>
      <c r="W462" s="105" t="s">
        <v>4356</v>
      </c>
      <c r="X462" s="105" t="s">
        <v>4356</v>
      </c>
      <c r="Y462" s="105" t="s">
        <v>4356</v>
      </c>
      <c r="Z462" s="105"/>
      <c r="AA462" s="105"/>
      <c r="AB462" s="149" t="s">
        <v>6396</v>
      </c>
      <c r="AC462" s="149" t="s">
        <v>6397</v>
      </c>
      <c r="AD462" s="149" t="s">
        <v>6398</v>
      </c>
      <c r="AE462" s="103" t="s">
        <v>4343</v>
      </c>
      <c r="AF462" s="103" t="s">
        <v>4333</v>
      </c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12"/>
      <c r="AP462" s="171"/>
      <c r="AQ462" s="112"/>
      <c r="AR462" s="112"/>
      <c r="AS462" s="112"/>
      <c r="AT462" s="112"/>
      <c r="AU462" s="112"/>
      <c r="AV462" s="112"/>
      <c r="AW462" s="112"/>
      <c r="AX462" s="112"/>
      <c r="AY462" s="166"/>
      <c r="AZ462" s="108"/>
      <c r="BA462" s="112"/>
      <c r="BB462" s="112"/>
      <c r="BC462" s="220" t="str">
        <f t="shared" si="54"/>
        <v/>
      </c>
      <c r="BD462" s="103" t="str">
        <f t="shared" si="55"/>
        <v>INDENIZAÇÃO</v>
      </c>
      <c r="BE462" s="103" t="str">
        <f t="shared" si="56"/>
        <v>NÃO</v>
      </c>
      <c r="BF462" s="112"/>
      <c r="BG462" s="147"/>
      <c r="BH462" s="147"/>
      <c r="BI462" s="112"/>
      <c r="BJ462" s="112"/>
      <c r="BK462" s="112"/>
      <c r="BL462" s="112"/>
      <c r="BM462" s="236"/>
    </row>
    <row r="463" spans="1:107" s="232" customFormat="1" ht="29.25" customHeight="1">
      <c r="A463" s="103">
        <v>454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6399</v>
      </c>
      <c r="G463" s="103" t="s">
        <v>4330</v>
      </c>
      <c r="H463" s="103" t="s">
        <v>4331</v>
      </c>
      <c r="I463" s="142" t="s">
        <v>4343</v>
      </c>
      <c r="J463" s="149" t="s">
        <v>6400</v>
      </c>
      <c r="K463" s="149" t="s">
        <v>6401</v>
      </c>
      <c r="L463" s="149" t="s">
        <v>6402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8" t="s">
        <v>4437</v>
      </c>
      <c r="W463" s="108" t="s">
        <v>4437</v>
      </c>
      <c r="X463" s="105">
        <v>45999</v>
      </c>
      <c r="Y463" s="105">
        <v>46000</v>
      </c>
      <c r="Z463" s="105"/>
      <c r="AA463" s="103"/>
      <c r="AB463" s="204" t="s">
        <v>6400</v>
      </c>
      <c r="AC463" s="204" t="s">
        <v>6401</v>
      </c>
      <c r="AD463" s="204" t="s">
        <v>6402</v>
      </c>
      <c r="AE463" s="172" t="s">
        <v>4343</v>
      </c>
      <c r="AF463" s="165" t="s">
        <v>4333</v>
      </c>
      <c r="AG463" s="208" t="s">
        <v>4356</v>
      </c>
      <c r="AH463" s="208" t="s">
        <v>4356</v>
      </c>
      <c r="AI463" s="210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si="54"/>
        <v/>
      </c>
      <c r="BD463" s="103" t="str">
        <f t="shared" si="55"/>
        <v>AA</v>
      </c>
      <c r="BE463" s="103" t="str">
        <f t="shared" si="56"/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customHeight="1">
      <c r="A464" s="165">
        <v>455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6399</v>
      </c>
      <c r="G464" s="103" t="s">
        <v>4330</v>
      </c>
      <c r="H464" s="103" t="s">
        <v>4331</v>
      </c>
      <c r="I464" s="103" t="s">
        <v>4343</v>
      </c>
      <c r="J464" s="149" t="s">
        <v>6403</v>
      </c>
      <c r="K464" s="149" t="s">
        <v>6404</v>
      </c>
      <c r="L464" s="149" t="s">
        <v>6405</v>
      </c>
      <c r="M464" s="103" t="s">
        <v>4333</v>
      </c>
      <c r="N464" s="103" t="s">
        <v>4459</v>
      </c>
      <c r="O464" s="105">
        <v>46129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6403</v>
      </c>
      <c r="AC464" s="149" t="s">
        <v>6404</v>
      </c>
      <c r="AD464" s="149" t="s">
        <v>6405</v>
      </c>
      <c r="AE464" s="103" t="s">
        <v>4343</v>
      </c>
      <c r="AF464" s="103" t="s">
        <v>4333</v>
      </c>
      <c r="AG464" s="194">
        <v>39497.07</v>
      </c>
      <c r="AH464" s="194">
        <v>60000</v>
      </c>
      <c r="AI464" s="103" t="s">
        <v>4336</v>
      </c>
      <c r="AJ464" s="104" t="s">
        <v>4438</v>
      </c>
      <c r="AK464" s="103">
        <v>153979535</v>
      </c>
      <c r="AL464" s="103" t="s">
        <v>4338</v>
      </c>
      <c r="AM464" s="103" t="s">
        <v>4338</v>
      </c>
      <c r="AN464" s="103" t="s">
        <v>4339</v>
      </c>
      <c r="AO464" s="112"/>
      <c r="AP464" s="277" t="s">
        <v>6406</v>
      </c>
      <c r="AQ464" s="259" t="s">
        <v>4338</v>
      </c>
      <c r="AR464" s="112" t="s">
        <v>4338</v>
      </c>
      <c r="AS464" s="112" t="s">
        <v>4338</v>
      </c>
      <c r="AT464" s="112" t="s">
        <v>4338</v>
      </c>
      <c r="AU464" s="105">
        <v>46216</v>
      </c>
      <c r="AV464" s="259" t="s">
        <v>4338</v>
      </c>
      <c r="AW464" s="259" t="s">
        <v>4338</v>
      </c>
      <c r="AX464" s="105">
        <v>46223</v>
      </c>
      <c r="AY464" s="276" t="s">
        <v>4453</v>
      </c>
      <c r="AZ464" s="157"/>
      <c r="BA464" s="109" t="s">
        <v>4330</v>
      </c>
      <c r="BB464" s="112"/>
      <c r="BC464" s="220" t="e">
        <f t="shared" si="54"/>
        <v>#VALUE!</v>
      </c>
      <c r="BD464" s="103" t="str">
        <f t="shared" si="55"/>
        <v>INDENIZAÇÃO</v>
      </c>
      <c r="BE464" s="103" t="str">
        <f t="shared" si="56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107" s="232" customFormat="1" ht="29.25" customHeight="1">
      <c r="A465" s="165">
        <v>456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03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6408</v>
      </c>
      <c r="AC465" s="149" t="s">
        <v>6409</v>
      </c>
      <c r="AD465" s="149" t="s">
        <v>6410</v>
      </c>
      <c r="AE465" s="103" t="s">
        <v>4343</v>
      </c>
      <c r="AF465" s="103" t="s">
        <v>4333</v>
      </c>
      <c r="AG465" s="208">
        <v>137659.72</v>
      </c>
      <c r="AH465" s="208">
        <v>137659.72</v>
      </c>
      <c r="AI465" s="165" t="s">
        <v>4336</v>
      </c>
      <c r="AJ465" s="104" t="s">
        <v>4438</v>
      </c>
      <c r="AK465" s="103">
        <v>153980746</v>
      </c>
      <c r="AL465" s="103" t="s">
        <v>4338</v>
      </c>
      <c r="AM465" s="103" t="s">
        <v>4338</v>
      </c>
      <c r="AN465" s="103" t="s">
        <v>4339</v>
      </c>
      <c r="AO465" s="112"/>
      <c r="AP465" s="277" t="s">
        <v>6411</v>
      </c>
      <c r="AQ465" s="259" t="s">
        <v>4338</v>
      </c>
      <c r="AR465" s="112" t="s">
        <v>4338</v>
      </c>
      <c r="AS465" s="103" t="s">
        <v>4338</v>
      </c>
      <c r="AT465" s="103" t="s">
        <v>4338</v>
      </c>
      <c r="AU465" s="105">
        <v>46226</v>
      </c>
      <c r="AV465" s="112" t="s">
        <v>4338</v>
      </c>
      <c r="AW465" s="109" t="s">
        <v>4453</v>
      </c>
      <c r="AX465" s="109"/>
      <c r="AY465" s="157"/>
      <c r="AZ465" s="157"/>
      <c r="BA465" s="109" t="s">
        <v>4330</v>
      </c>
      <c r="BB465" s="112"/>
      <c r="BC465" s="220" t="str">
        <f t="shared" si="54"/>
        <v/>
      </c>
      <c r="BD465" s="103" t="str">
        <f t="shared" si="55"/>
        <v>INDENIZAÇÃO</v>
      </c>
      <c r="BE465" s="103" t="str">
        <f t="shared" si="56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>
      <c r="A466" s="165">
        <v>457</v>
      </c>
      <c r="B466" s="103" t="s">
        <v>4431</v>
      </c>
      <c r="C466" s="103" t="s">
        <v>4448</v>
      </c>
      <c r="D466" s="103">
        <v>1</v>
      </c>
      <c r="E466" s="103" t="s">
        <v>4432</v>
      </c>
      <c r="F466" s="104" t="s">
        <v>6412</v>
      </c>
      <c r="G466" s="103" t="s">
        <v>4330</v>
      </c>
      <c r="H466" s="103" t="s">
        <v>4331</v>
      </c>
      <c r="I466" s="142" t="s">
        <v>4343</v>
      </c>
      <c r="J466" s="149" t="s">
        <v>6413</v>
      </c>
      <c r="K466" s="149" t="s">
        <v>6414</v>
      </c>
      <c r="L466" s="149" t="s">
        <v>6415</v>
      </c>
      <c r="M466" s="103" t="s">
        <v>4333</v>
      </c>
      <c r="N466" s="103" t="s">
        <v>4345</v>
      </c>
      <c r="O466" s="105">
        <v>45996</v>
      </c>
      <c r="P466" s="105">
        <v>46002</v>
      </c>
      <c r="Q466" s="105" t="s">
        <v>4436</v>
      </c>
      <c r="R466" s="105">
        <v>45999</v>
      </c>
      <c r="S466" s="105">
        <v>46006</v>
      </c>
      <c r="T466" s="105">
        <v>46006</v>
      </c>
      <c r="U466" s="105">
        <v>46009</v>
      </c>
      <c r="V466" s="105" t="s">
        <v>4437</v>
      </c>
      <c r="W466" s="105" t="s">
        <v>4437</v>
      </c>
      <c r="X466" s="105">
        <v>46014</v>
      </c>
      <c r="Y466" s="105">
        <v>46020</v>
      </c>
      <c r="Z466" s="105"/>
      <c r="AA466" s="103"/>
      <c r="AB466" s="149" t="s">
        <v>6413</v>
      </c>
      <c r="AC466" s="149" t="s">
        <v>6414</v>
      </c>
      <c r="AD466" s="149" t="s">
        <v>6415</v>
      </c>
      <c r="AE466" s="142" t="s">
        <v>4343</v>
      </c>
      <c r="AF466" s="103" t="s">
        <v>4333</v>
      </c>
      <c r="AG466" s="194" t="s">
        <v>4356</v>
      </c>
      <c r="AH466" s="194" t="s">
        <v>4356</v>
      </c>
      <c r="AI466" s="165" t="s">
        <v>4355</v>
      </c>
      <c r="AJ466" s="104" t="s">
        <v>4438</v>
      </c>
      <c r="AK466" s="103"/>
      <c r="AL466" s="103"/>
      <c r="AM466" s="103"/>
      <c r="AN466" s="103"/>
      <c r="AO466" s="103"/>
      <c r="AP466" s="171"/>
      <c r="AQ466" s="103"/>
      <c r="AR466" s="103"/>
      <c r="AS466" s="103"/>
      <c r="AT466" s="103"/>
      <c r="AU466" s="105"/>
      <c r="AV466" s="112"/>
      <c r="AW466" s="103"/>
      <c r="AX466" s="105"/>
      <c r="AY466" s="166"/>
      <c r="AZ466" s="105"/>
      <c r="BA466" s="103"/>
      <c r="BB466" s="136"/>
      <c r="BC466" s="220" t="str">
        <f t="shared" si="54"/>
        <v/>
      </c>
      <c r="BD466" s="103" t="str">
        <f t="shared" si="55"/>
        <v>AA</v>
      </c>
      <c r="BE466" s="103" t="str">
        <f t="shared" si="56"/>
        <v>NÃO</v>
      </c>
      <c r="BF466" s="140"/>
      <c r="BG466" s="140"/>
      <c r="BH466" s="140"/>
      <c r="BI466" s="140"/>
      <c r="BJ466" s="140"/>
      <c r="BK466" s="140"/>
      <c r="BL466" s="140"/>
      <c r="BM466" s="238"/>
    </row>
    <row r="467" spans="1:107" s="232" customFormat="1" ht="29.25" customHeight="1">
      <c r="A467" s="103">
        <v>458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6412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194">
        <v>24525.65</v>
      </c>
      <c r="AH467" s="194">
        <f>AG467+30000</f>
        <v>54525.65</v>
      </c>
      <c r="AI467" s="103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4822</v>
      </c>
      <c r="AT467" s="107" t="s">
        <v>4453</v>
      </c>
      <c r="AU467" s="109"/>
      <c r="AV467" s="109"/>
      <c r="AW467" s="109"/>
      <c r="AX467" s="109"/>
      <c r="AY467" s="157"/>
      <c r="AZ467" s="157"/>
      <c r="BA467" s="107" t="s">
        <v>4330</v>
      </c>
      <c r="BB467" s="112"/>
      <c r="BC467" s="220" t="str">
        <f t="shared" si="54"/>
        <v/>
      </c>
      <c r="BD467" s="103" t="str">
        <f t="shared" si="55"/>
        <v>INDENIZAÇÃO</v>
      </c>
      <c r="BE467" s="103" t="str">
        <f t="shared" si="56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107" s="232" customFormat="1" ht="29.25" customHeight="1">
      <c r="A468" s="103">
        <v>459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6420</v>
      </c>
      <c r="G468" s="103" t="s">
        <v>4330</v>
      </c>
      <c r="H468" s="103" t="s">
        <v>4331</v>
      </c>
      <c r="I468" s="103" t="s">
        <v>4343</v>
      </c>
      <c r="J468" s="149" t="s">
        <v>6421</v>
      </c>
      <c r="K468" s="149" t="s">
        <v>6422</v>
      </c>
      <c r="L468" s="149" t="s">
        <v>6423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6421</v>
      </c>
      <c r="AC468" s="149" t="s">
        <v>6422</v>
      </c>
      <c r="AD468" s="149" t="s">
        <v>6423</v>
      </c>
      <c r="AE468" s="103" t="s">
        <v>4343</v>
      </c>
      <c r="AF468" s="103" t="s">
        <v>4333</v>
      </c>
      <c r="AG468" s="194">
        <v>8623.86</v>
      </c>
      <c r="AH468" s="194">
        <f>AG468+30000</f>
        <v>38623.86</v>
      </c>
      <c r="AI468" s="103" t="s">
        <v>4336</v>
      </c>
      <c r="AJ468" s="104" t="s">
        <v>4438</v>
      </c>
      <c r="AK468" s="103">
        <v>153980952</v>
      </c>
      <c r="AL468" s="103" t="s">
        <v>4338</v>
      </c>
      <c r="AM468" s="103" t="s">
        <v>4338</v>
      </c>
      <c r="AN468" s="103" t="s">
        <v>4339</v>
      </c>
      <c r="AO468" s="112"/>
      <c r="AP468" s="277" t="s">
        <v>6424</v>
      </c>
      <c r="AQ468" s="259" t="s">
        <v>4338</v>
      </c>
      <c r="AR468" s="112" t="s">
        <v>4338</v>
      </c>
      <c r="AS468" s="103" t="s">
        <v>4338</v>
      </c>
      <c r="AT468" s="103" t="s">
        <v>4338</v>
      </c>
      <c r="AU468" s="105">
        <v>46226</v>
      </c>
      <c r="AV468" s="112" t="s">
        <v>4338</v>
      </c>
      <c r="AW468" s="109" t="s">
        <v>4453</v>
      </c>
      <c r="AX468" s="109"/>
      <c r="AY468" s="157"/>
      <c r="AZ468" s="157"/>
      <c r="BA468" s="109" t="s">
        <v>4330</v>
      </c>
      <c r="BB468" s="112"/>
      <c r="BC468" s="220" t="str">
        <f t="shared" si="54"/>
        <v/>
      </c>
      <c r="BD468" s="103" t="str">
        <f t="shared" si="55"/>
        <v>INDENIZAÇÃO</v>
      </c>
      <c r="BE468" s="103" t="str">
        <f t="shared" si="56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460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6425</v>
      </c>
      <c r="G469" s="103" t="s">
        <v>4330</v>
      </c>
      <c r="H469" s="103" t="s">
        <v>4331</v>
      </c>
      <c r="I469" s="142" t="s">
        <v>4343</v>
      </c>
      <c r="J469" s="149" t="s">
        <v>6426</v>
      </c>
      <c r="K469" s="149" t="s">
        <v>6427</v>
      </c>
      <c r="L469" s="149" t="s">
        <v>6428</v>
      </c>
      <c r="M469" s="103" t="s">
        <v>4333</v>
      </c>
      <c r="N469" s="103" t="s">
        <v>4345</v>
      </c>
      <c r="O469" s="105">
        <v>45980</v>
      </c>
      <c r="P469" s="105">
        <v>45986</v>
      </c>
      <c r="Q469" s="108" t="s">
        <v>4436</v>
      </c>
      <c r="R469" s="108">
        <v>45985</v>
      </c>
      <c r="S469" s="108">
        <v>45986</v>
      </c>
      <c r="T469" s="108">
        <v>45987</v>
      </c>
      <c r="U469" s="108">
        <v>45992</v>
      </c>
      <c r="V469" s="105" t="s">
        <v>4437</v>
      </c>
      <c r="W469" s="105" t="s">
        <v>4437</v>
      </c>
      <c r="X469" s="105">
        <v>45999</v>
      </c>
      <c r="Y469" s="105">
        <v>46000</v>
      </c>
      <c r="Z469" s="108"/>
      <c r="AA469" s="112"/>
      <c r="AB469" s="149" t="s">
        <v>6426</v>
      </c>
      <c r="AC469" s="149" t="s">
        <v>6427</v>
      </c>
      <c r="AD469" s="149" t="s">
        <v>6428</v>
      </c>
      <c r="AE469" s="142" t="s">
        <v>4343</v>
      </c>
      <c r="AF469" s="103" t="s">
        <v>4333</v>
      </c>
      <c r="AG469" s="194" t="s">
        <v>4356</v>
      </c>
      <c r="AH469" s="194" t="s">
        <v>4356</v>
      </c>
      <c r="AI469" s="212" t="s">
        <v>4355</v>
      </c>
      <c r="AJ469" s="104" t="s">
        <v>4438</v>
      </c>
      <c r="AK469" s="103"/>
      <c r="AL469" s="103"/>
      <c r="AM469" s="103"/>
      <c r="AN469" s="103"/>
      <c r="AO469" s="112"/>
      <c r="AP469" s="171"/>
      <c r="AQ469" s="103"/>
      <c r="AR469" s="103"/>
      <c r="AS469" s="103" t="s">
        <v>4356</v>
      </c>
      <c r="AT469" s="103" t="s">
        <v>4356</v>
      </c>
      <c r="AU469" s="103" t="s">
        <v>4356</v>
      </c>
      <c r="AV469" s="103" t="s">
        <v>4356</v>
      </c>
      <c r="AW469" s="112"/>
      <c r="AX469" s="112"/>
      <c r="AY469" s="166"/>
      <c r="AZ469" s="105"/>
      <c r="BA469" s="103"/>
      <c r="BB469" s="136"/>
      <c r="BC469" s="220" t="str">
        <f t="shared" si="54"/>
        <v/>
      </c>
      <c r="BD469" s="103" t="str">
        <f t="shared" si="55"/>
        <v>AA</v>
      </c>
      <c r="BE469" s="103" t="str">
        <f t="shared" si="56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customHeight="1">
      <c r="A470" s="165">
        <v>461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6425</v>
      </c>
      <c r="G470" s="103" t="s">
        <v>4330</v>
      </c>
      <c r="H470" s="103" t="s">
        <v>4331</v>
      </c>
      <c r="I470" s="103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4345</v>
      </c>
      <c r="O470" s="105">
        <v>46080</v>
      </c>
      <c r="P470" s="105">
        <v>46084</v>
      </c>
      <c r="Q470" s="105" t="s">
        <v>4436</v>
      </c>
      <c r="R470" s="105">
        <v>46083</v>
      </c>
      <c r="S470" s="108">
        <v>46084</v>
      </c>
      <c r="T470" s="108">
        <v>46087</v>
      </c>
      <c r="U470" s="108">
        <v>46090</v>
      </c>
      <c r="V470" s="105" t="s">
        <v>4437</v>
      </c>
      <c r="W470" s="105" t="s">
        <v>4437</v>
      </c>
      <c r="X470" s="105">
        <v>46101</v>
      </c>
      <c r="Y470" s="105">
        <v>46153</v>
      </c>
      <c r="Z470" s="105"/>
      <c r="AA470" s="207" t="s">
        <v>6432</v>
      </c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165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12"/>
      <c r="AR470" s="112"/>
      <c r="AS470" s="112"/>
      <c r="AT470" s="112"/>
      <c r="AU470" s="112"/>
      <c r="AV470" s="112"/>
      <c r="AW470" s="112"/>
      <c r="AX470" s="112"/>
      <c r="AY470" s="166"/>
      <c r="AZ470" s="108"/>
      <c r="BA470" s="112"/>
      <c r="BB470" s="112"/>
      <c r="BC470" s="220" t="str">
        <f t="shared" si="54"/>
        <v/>
      </c>
      <c r="BD470" s="103" t="str">
        <f t="shared" si="55"/>
        <v>AA</v>
      </c>
      <c r="BE470" s="103" t="str">
        <f t="shared" si="56"/>
        <v>NÃO</v>
      </c>
      <c r="BF470" s="112"/>
      <c r="BG470" s="147"/>
      <c r="BH470" s="147"/>
      <c r="BI470" s="112"/>
      <c r="BJ470" s="112"/>
      <c r="BK470" s="112"/>
      <c r="BL470" s="112"/>
      <c r="BM470" s="236"/>
    </row>
    <row r="471" spans="1:107" s="232" customFormat="1" ht="29.25" customHeight="1">
      <c r="A471" s="165">
        <v>462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03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46106</v>
      </c>
      <c r="Z471" s="105"/>
      <c r="AA471" s="105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54"/>
        <v/>
      </c>
      <c r="BD471" s="103" t="str">
        <f t="shared" si="55"/>
        <v>AA</v>
      </c>
      <c r="BE471" s="103" t="str">
        <f t="shared" si="56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463</v>
      </c>
      <c r="B472" s="103" t="s">
        <v>4431</v>
      </c>
      <c r="C472" s="103" t="s">
        <v>4448</v>
      </c>
      <c r="D472" s="103">
        <v>1</v>
      </c>
      <c r="E472" s="103" t="s">
        <v>4432</v>
      </c>
      <c r="F472" s="104" t="s">
        <v>6437</v>
      </c>
      <c r="G472" s="103" t="s">
        <v>4330</v>
      </c>
      <c r="H472" s="103" t="s">
        <v>4331</v>
      </c>
      <c r="I472" s="142" t="s">
        <v>4343</v>
      </c>
      <c r="J472" s="114" t="s">
        <v>6438</v>
      </c>
      <c r="K472" s="149" t="s">
        <v>6439</v>
      </c>
      <c r="L472" s="149" t="s">
        <v>6440</v>
      </c>
      <c r="M472" s="103" t="s">
        <v>4333</v>
      </c>
      <c r="N472" s="103" t="s">
        <v>4345</v>
      </c>
      <c r="O472" s="105">
        <v>45980</v>
      </c>
      <c r="P472" s="105">
        <v>45986</v>
      </c>
      <c r="Q472" s="108" t="s">
        <v>4436</v>
      </c>
      <c r="R472" s="108">
        <v>45985</v>
      </c>
      <c r="S472" s="108">
        <v>45986</v>
      </c>
      <c r="T472" s="108">
        <v>45987</v>
      </c>
      <c r="U472" s="108">
        <v>45992</v>
      </c>
      <c r="V472" s="105" t="s">
        <v>4437</v>
      </c>
      <c r="W472" s="105" t="s">
        <v>4437</v>
      </c>
      <c r="X472" s="105">
        <v>45999</v>
      </c>
      <c r="Y472" s="105">
        <v>46001</v>
      </c>
      <c r="Z472" s="105"/>
      <c r="AA472" s="103"/>
      <c r="AB472" s="114" t="s">
        <v>6438</v>
      </c>
      <c r="AC472" s="149" t="s">
        <v>6439</v>
      </c>
      <c r="AD472" s="149" t="s">
        <v>6440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212" t="s">
        <v>4355</v>
      </c>
      <c r="AJ472" s="104" t="s">
        <v>4438</v>
      </c>
      <c r="AK472" s="103"/>
      <c r="AL472" s="103"/>
      <c r="AM472" s="103"/>
      <c r="AN472" s="103"/>
      <c r="AO472" s="103"/>
      <c r="AP472" s="171"/>
      <c r="AQ472" s="103"/>
      <c r="AR472" s="103"/>
      <c r="AS472" s="103" t="s">
        <v>4356</v>
      </c>
      <c r="AT472" s="103" t="s">
        <v>4356</v>
      </c>
      <c r="AU472" s="103" t="s">
        <v>4356</v>
      </c>
      <c r="AV472" s="103" t="s">
        <v>4356</v>
      </c>
      <c r="AW472" s="103"/>
      <c r="AX472" s="105"/>
      <c r="AY472" s="166"/>
      <c r="AZ472" s="105"/>
      <c r="BA472" s="103"/>
      <c r="BB472" s="136"/>
      <c r="BC472" s="220" t="str">
        <f t="shared" si="54"/>
        <v/>
      </c>
      <c r="BD472" s="103" t="str">
        <f t="shared" si="55"/>
        <v>AA</v>
      </c>
      <c r="BE472" s="103" t="str">
        <f t="shared" si="56"/>
        <v>NÃO</v>
      </c>
      <c r="BF472" s="140"/>
      <c r="BG472" s="140"/>
      <c r="BH472" s="140"/>
      <c r="BI472" s="140"/>
      <c r="BJ472" s="140"/>
      <c r="BK472" s="140"/>
      <c r="BL472" s="140"/>
      <c r="BM472" s="238"/>
    </row>
    <row r="473" spans="1:107" s="232" customFormat="1" ht="29.25" customHeight="1">
      <c r="A473" s="103">
        <v>464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6437</v>
      </c>
      <c r="G473" s="103" t="s">
        <v>4330</v>
      </c>
      <c r="H473" s="103" t="s">
        <v>4331</v>
      </c>
      <c r="I473" s="103" t="s">
        <v>4343</v>
      </c>
      <c r="J473" s="149" t="s">
        <v>6441</v>
      </c>
      <c r="K473" s="149" t="s">
        <v>6442</v>
      </c>
      <c r="L473" s="149" t="s">
        <v>6443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6441</v>
      </c>
      <c r="AC473" s="149" t="s">
        <v>6442</v>
      </c>
      <c r="AD473" s="149" t="s">
        <v>6443</v>
      </c>
      <c r="AE473" s="103" t="s">
        <v>4343</v>
      </c>
      <c r="AF473" s="103" t="s">
        <v>4333</v>
      </c>
      <c r="AG473" s="208">
        <v>33748.89</v>
      </c>
      <c r="AH473" s="208">
        <v>60000</v>
      </c>
      <c r="AI473" s="165" t="s">
        <v>4447</v>
      </c>
      <c r="AJ473" s="104" t="s">
        <v>4438</v>
      </c>
      <c r="AK473" s="103">
        <v>153981037</v>
      </c>
      <c r="AL473" s="103" t="s">
        <v>6444</v>
      </c>
      <c r="AM473" s="103" t="s">
        <v>4338</v>
      </c>
      <c r="AN473" s="103" t="s">
        <v>4368</v>
      </c>
      <c r="AO473" s="112"/>
      <c r="AP473" s="171" t="s">
        <v>6445</v>
      </c>
      <c r="AQ473" s="273" t="s">
        <v>4338</v>
      </c>
      <c r="AR473" s="273" t="s">
        <v>4338</v>
      </c>
      <c r="AS473" s="103" t="s">
        <v>4822</v>
      </c>
      <c r="AT473" s="107" t="s">
        <v>4453</v>
      </c>
      <c r="AU473" s="109"/>
      <c r="AV473" s="109"/>
      <c r="AW473" s="109"/>
      <c r="AX473" s="109"/>
      <c r="AY473" s="157"/>
      <c r="AZ473" s="157"/>
      <c r="BA473" s="107" t="s">
        <v>4330</v>
      </c>
      <c r="BB473" s="112"/>
      <c r="BC473" s="220" t="str">
        <f t="shared" si="54"/>
        <v/>
      </c>
      <c r="BD473" s="103" t="str">
        <f t="shared" si="55"/>
        <v>INDENIZAÇÃO</v>
      </c>
      <c r="BE473" s="103" t="str">
        <f t="shared" si="5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customHeight="1">
      <c r="A474" s="103">
        <v>465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6446</v>
      </c>
      <c r="G474" s="103" t="s">
        <v>4330</v>
      </c>
      <c r="H474" s="103" t="s">
        <v>4331</v>
      </c>
      <c r="I474" s="142" t="s">
        <v>4343</v>
      </c>
      <c r="J474" s="149" t="s">
        <v>6447</v>
      </c>
      <c r="K474" s="149" t="s">
        <v>6448</v>
      </c>
      <c r="L474" s="149" t="s">
        <v>6449</v>
      </c>
      <c r="M474" s="103" t="s">
        <v>4333</v>
      </c>
      <c r="N474" s="103" t="s">
        <v>4345</v>
      </c>
      <c r="O474" s="105">
        <v>46097</v>
      </c>
      <c r="P474" s="105">
        <v>46106</v>
      </c>
      <c r="Q474" s="105" t="s">
        <v>4436</v>
      </c>
      <c r="R474" s="105">
        <v>46106</v>
      </c>
      <c r="S474" s="105">
        <v>46107</v>
      </c>
      <c r="T474" s="105">
        <v>46111</v>
      </c>
      <c r="U474" s="105">
        <v>46087</v>
      </c>
      <c r="V474" s="105" t="s">
        <v>4437</v>
      </c>
      <c r="W474" s="105" t="s">
        <v>4437</v>
      </c>
      <c r="X474" s="105">
        <v>46132</v>
      </c>
      <c r="Y474" s="105">
        <v>46129</v>
      </c>
      <c r="Z474" s="105"/>
      <c r="AA474" s="105"/>
      <c r="AB474" s="149" t="s">
        <v>6447</v>
      </c>
      <c r="AC474" s="149" t="s">
        <v>6450</v>
      </c>
      <c r="AD474" s="149" t="s">
        <v>6449</v>
      </c>
      <c r="AE474" s="142" t="s">
        <v>4343</v>
      </c>
      <c r="AF474" s="103" t="s">
        <v>4333</v>
      </c>
      <c r="AG474" s="194" t="s">
        <v>4356</v>
      </c>
      <c r="AH474" s="194" t="s">
        <v>4356</v>
      </c>
      <c r="AI474" s="165" t="s">
        <v>4355</v>
      </c>
      <c r="AJ474" s="104" t="s">
        <v>4438</v>
      </c>
      <c r="AK474" s="103"/>
      <c r="AL474" s="103"/>
      <c r="AM474" s="103"/>
      <c r="AN474" s="103"/>
      <c r="AO474" s="112"/>
      <c r="AP474" s="268"/>
      <c r="AQ474" s="99"/>
      <c r="AR474" s="99"/>
      <c r="AS474" s="269"/>
      <c r="AT474" s="112"/>
      <c r="AU474" s="112"/>
      <c r="AV474" s="112"/>
      <c r="AW474" s="112"/>
      <c r="AX474" s="112"/>
      <c r="AY474" s="166"/>
      <c r="AZ474" s="108"/>
      <c r="BA474" s="112"/>
      <c r="BB474" s="112"/>
      <c r="BC474" s="220" t="str">
        <f t="shared" si="54"/>
        <v/>
      </c>
      <c r="BD474" s="103" t="str">
        <f t="shared" si="55"/>
        <v>AA</v>
      </c>
      <c r="BE474" s="103" t="str">
        <f t="shared" si="5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customHeight="1">
      <c r="A475" s="103">
        <v>466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6451</v>
      </c>
      <c r="G475" s="103" t="s">
        <v>4330</v>
      </c>
      <c r="H475" s="103" t="s">
        <v>4331</v>
      </c>
      <c r="I475" s="142" t="s">
        <v>4343</v>
      </c>
      <c r="J475" s="149" t="s">
        <v>6452</v>
      </c>
      <c r="K475" s="149" t="s">
        <v>6453</v>
      </c>
      <c r="L475" s="149" t="s">
        <v>6454</v>
      </c>
      <c r="M475" s="103" t="s">
        <v>4333</v>
      </c>
      <c r="N475" s="103" t="s">
        <v>4334</v>
      </c>
      <c r="O475" s="105">
        <v>46188</v>
      </c>
      <c r="P475" s="105" t="s">
        <v>4356</v>
      </c>
      <c r="Q475" s="105" t="s">
        <v>4356</v>
      </c>
      <c r="R475" s="105" t="s">
        <v>4356</v>
      </c>
      <c r="S475" s="105" t="s">
        <v>4356</v>
      </c>
      <c r="T475" s="105" t="s">
        <v>4356</v>
      </c>
      <c r="U475" s="105" t="s">
        <v>4356</v>
      </c>
      <c r="V475" s="105" t="s">
        <v>4356</v>
      </c>
      <c r="W475" s="105" t="s">
        <v>4356</v>
      </c>
      <c r="X475" s="105" t="s">
        <v>4356</v>
      </c>
      <c r="Y475" s="105" t="s">
        <v>4356</v>
      </c>
      <c r="Z475" s="105"/>
      <c r="AA475" s="105"/>
      <c r="AB475" s="149" t="s">
        <v>6452</v>
      </c>
      <c r="AC475" s="149" t="s">
        <v>6453</v>
      </c>
      <c r="AD475" s="149" t="s">
        <v>6454</v>
      </c>
      <c r="AE475" s="142" t="s">
        <v>4343</v>
      </c>
      <c r="AF475" s="103" t="s">
        <v>4333</v>
      </c>
      <c r="AG475" s="194">
        <v>42208.36</v>
      </c>
      <c r="AH475" s="194">
        <v>60000</v>
      </c>
      <c r="AI475" s="165" t="s">
        <v>4447</v>
      </c>
      <c r="AJ475" s="104" t="s">
        <v>4438</v>
      </c>
      <c r="AK475" s="103">
        <v>158037657</v>
      </c>
      <c r="AL475" s="103" t="s">
        <v>4338</v>
      </c>
      <c r="AM475" s="103" t="s">
        <v>4338</v>
      </c>
      <c r="AN475" s="103" t="s">
        <v>4339</v>
      </c>
      <c r="AO475" s="112"/>
      <c r="AP475" s="171" t="s">
        <v>6455</v>
      </c>
      <c r="AQ475" s="165" t="s">
        <v>4822</v>
      </c>
      <c r="AR475" s="103" t="s">
        <v>4822</v>
      </c>
      <c r="AS475" s="103" t="s">
        <v>4822</v>
      </c>
      <c r="AT475" s="107" t="s">
        <v>4453</v>
      </c>
      <c r="AU475" s="109"/>
      <c r="AV475" s="109"/>
      <c r="AW475" s="109"/>
      <c r="AX475" s="109"/>
      <c r="AY475" s="157"/>
      <c r="AZ475" s="157"/>
      <c r="BA475" s="107" t="s">
        <v>4330</v>
      </c>
      <c r="BB475" s="112"/>
      <c r="BC475" s="220"/>
      <c r="BD475" s="103"/>
      <c r="BE475" s="103"/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65">
        <v>467</v>
      </c>
      <c r="B476" s="103" t="s">
        <v>4431</v>
      </c>
      <c r="C476" s="103" t="s">
        <v>4448</v>
      </c>
      <c r="D476" s="103">
        <v>1</v>
      </c>
      <c r="E476" s="103" t="s">
        <v>4432</v>
      </c>
      <c r="F476" s="104" t="s">
        <v>6451</v>
      </c>
      <c r="G476" s="103" t="s">
        <v>4330</v>
      </c>
      <c r="H476" s="103" t="s">
        <v>4331</v>
      </c>
      <c r="I476" s="142" t="s">
        <v>4343</v>
      </c>
      <c r="J476" s="149" t="s">
        <v>6456</v>
      </c>
      <c r="K476" s="149" t="s">
        <v>6457</v>
      </c>
      <c r="L476" s="149" t="s">
        <v>6458</v>
      </c>
      <c r="M476" s="103" t="s">
        <v>4333</v>
      </c>
      <c r="N476" s="103" t="s">
        <v>4345</v>
      </c>
      <c r="O476" s="105">
        <v>45980</v>
      </c>
      <c r="P476" s="105">
        <v>45986</v>
      </c>
      <c r="Q476" s="108" t="s">
        <v>4436</v>
      </c>
      <c r="R476" s="108">
        <v>45985</v>
      </c>
      <c r="S476" s="108">
        <v>45986</v>
      </c>
      <c r="T476" s="108">
        <v>45987</v>
      </c>
      <c r="U476" s="108">
        <v>45992</v>
      </c>
      <c r="V476" s="105" t="s">
        <v>4437</v>
      </c>
      <c r="W476" s="105" t="s">
        <v>4437</v>
      </c>
      <c r="X476" s="105">
        <v>45999</v>
      </c>
      <c r="Y476" s="105">
        <v>46000</v>
      </c>
      <c r="Z476" s="108"/>
      <c r="AA476" s="112"/>
      <c r="AB476" s="149" t="s">
        <v>6456</v>
      </c>
      <c r="AC476" s="149" t="s">
        <v>6457</v>
      </c>
      <c r="AD476" s="149" t="s">
        <v>6458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212" t="s">
        <v>4355</v>
      </c>
      <c r="AJ476" s="104" t="s">
        <v>4438</v>
      </c>
      <c r="AK476" s="103"/>
      <c r="AL476" s="103"/>
      <c r="AM476" s="103"/>
      <c r="AN476" s="103"/>
      <c r="AO476" s="112"/>
      <c r="AP476" s="268"/>
      <c r="AQ476" s="274"/>
      <c r="AR476" s="275"/>
      <c r="AS476" s="103" t="s">
        <v>4356</v>
      </c>
      <c r="AT476" s="103" t="s">
        <v>4356</v>
      </c>
      <c r="AU476" s="103" t="s">
        <v>4356</v>
      </c>
      <c r="AV476" s="103" t="s">
        <v>4356</v>
      </c>
      <c r="AW476" s="112"/>
      <c r="AX476" s="112"/>
      <c r="AY476" s="166"/>
      <c r="AZ476" s="105"/>
      <c r="BA476" s="103"/>
      <c r="BB476" s="136"/>
      <c r="BC476" s="220" t="str">
        <f t="shared" ref="BC476:BC495" si="57">IF(AY476-KD476=0,"",AY476-O476)</f>
        <v/>
      </c>
      <c r="BD476" s="103" t="str">
        <f t="shared" ref="BD476:BD495" si="58">IF(AND(AI476&lt;&gt;"SIM",AI476="UH"),"AA","INDENIZAÇÃO")</f>
        <v>AA</v>
      </c>
      <c r="BE476" s="103" t="str">
        <f t="shared" ref="BE476:BE495" si="59"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customHeight="1">
      <c r="A477" s="165">
        <v>468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4361</v>
      </c>
      <c r="I477" s="103" t="s">
        <v>4361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4345</v>
      </c>
      <c r="O477" s="108">
        <v>46134</v>
      </c>
      <c r="P477" s="105">
        <v>46147</v>
      </c>
      <c r="Q477" s="105" t="s">
        <v>4436</v>
      </c>
      <c r="R477" s="108">
        <v>46136</v>
      </c>
      <c r="S477" s="105">
        <v>46147</v>
      </c>
      <c r="T477" s="108">
        <v>46156</v>
      </c>
      <c r="U477" s="108">
        <v>46168</v>
      </c>
      <c r="V477" s="108" t="s">
        <v>4437</v>
      </c>
      <c r="W477" s="108" t="s">
        <v>4437</v>
      </c>
      <c r="X477" s="155">
        <v>46196</v>
      </c>
      <c r="Y477" s="108">
        <v>46196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165" t="s">
        <v>4355</v>
      </c>
      <c r="AJ477" s="104" t="s">
        <v>4438</v>
      </c>
      <c r="AK477" s="103"/>
      <c r="AL477" s="103"/>
      <c r="AM477" s="103"/>
      <c r="AN477" s="103"/>
      <c r="AO477" s="112"/>
      <c r="AP477" s="171"/>
      <c r="AQ477" s="195"/>
      <c r="AR477" s="112"/>
      <c r="AS477" s="112"/>
      <c r="AT477" s="112"/>
      <c r="AU477" s="112"/>
      <c r="AV477" s="112"/>
      <c r="AW477" s="112"/>
      <c r="AX477" s="112"/>
      <c r="AY477" s="166"/>
      <c r="AZ477" s="108"/>
      <c r="BA477" s="112"/>
      <c r="BB477" s="112"/>
      <c r="BC477" s="220" t="str">
        <f t="shared" si="57"/>
        <v/>
      </c>
      <c r="BD477" s="103" t="str">
        <f t="shared" si="58"/>
        <v>AA</v>
      </c>
      <c r="BE477" s="103" t="str">
        <f t="shared" si="59"/>
        <v>NÃO</v>
      </c>
      <c r="BF477" s="112"/>
      <c r="BG477" s="147"/>
      <c r="BH477" s="147"/>
      <c r="BI477" s="112"/>
      <c r="BJ477" s="112"/>
      <c r="BK477" s="112"/>
      <c r="BL477" s="112"/>
      <c r="BM477" s="236"/>
    </row>
    <row r="478" spans="1:107" s="232" customFormat="1" ht="29.25" customHeight="1">
      <c r="A478" s="165">
        <v>469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6463</v>
      </c>
      <c r="G478" s="103" t="s">
        <v>4330</v>
      </c>
      <c r="H478" s="103" t="s">
        <v>4331</v>
      </c>
      <c r="I478" s="103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4334</v>
      </c>
      <c r="O478" s="105">
        <v>46188</v>
      </c>
      <c r="P478" s="105" t="s">
        <v>6467</v>
      </c>
      <c r="Q478" s="105" t="s">
        <v>6467</v>
      </c>
      <c r="R478" s="105" t="s">
        <v>6467</v>
      </c>
      <c r="S478" s="105" t="s">
        <v>6467</v>
      </c>
      <c r="T478" s="105" t="s">
        <v>6467</v>
      </c>
      <c r="U478" s="105" t="s">
        <v>6467</v>
      </c>
      <c r="V478" s="105" t="s">
        <v>6467</v>
      </c>
      <c r="W478" s="105" t="s">
        <v>6467</v>
      </c>
      <c r="X478" s="105" t="s">
        <v>6467</v>
      </c>
      <c r="Y478" s="105" t="s">
        <v>6467</v>
      </c>
      <c r="Z478" s="105"/>
      <c r="AA478" s="105" t="s">
        <v>6467</v>
      </c>
      <c r="AB478" s="204" t="s">
        <v>6464</v>
      </c>
      <c r="AC478" s="204" t="s">
        <v>6465</v>
      </c>
      <c r="AD478" s="204" t="s">
        <v>6466</v>
      </c>
      <c r="AE478" s="172" t="s">
        <v>4343</v>
      </c>
      <c r="AF478" s="165" t="s">
        <v>4333</v>
      </c>
      <c r="AG478" s="208">
        <v>15842.03</v>
      </c>
      <c r="AH478" s="208">
        <v>45842.03</v>
      </c>
      <c r="AI478" s="165" t="s">
        <v>4447</v>
      </c>
      <c r="AJ478" s="104" t="s">
        <v>4438</v>
      </c>
      <c r="AK478" s="103">
        <v>153981462</v>
      </c>
      <c r="AL478" s="103" t="s">
        <v>4338</v>
      </c>
      <c r="AM478" s="103" t="s">
        <v>4338</v>
      </c>
      <c r="AN478" s="103" t="s">
        <v>4339</v>
      </c>
      <c r="AO478" s="112"/>
      <c r="AP478" s="171" t="s">
        <v>6468</v>
      </c>
      <c r="AQ478" s="103" t="s">
        <v>4338</v>
      </c>
      <c r="AR478" s="165" t="s">
        <v>4338</v>
      </c>
      <c r="AS478" s="103" t="s">
        <v>4822</v>
      </c>
      <c r="AT478" s="107" t="s">
        <v>4453</v>
      </c>
      <c r="AU478" s="109"/>
      <c r="AV478" s="109"/>
      <c r="AW478" s="109"/>
      <c r="AX478" s="109"/>
      <c r="AY478" s="157"/>
      <c r="AZ478" s="157"/>
      <c r="BA478" s="107" t="s">
        <v>4330</v>
      </c>
      <c r="BB478" s="112"/>
      <c r="BC478" s="220" t="str">
        <f t="shared" si="57"/>
        <v/>
      </c>
      <c r="BD478" s="103" t="str">
        <f t="shared" si="58"/>
        <v>INDENIZAÇÃO</v>
      </c>
      <c r="BE478" s="103" t="str">
        <f t="shared" si="59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03">
        <v>470</v>
      </c>
      <c r="B479" s="103" t="s">
        <v>4431</v>
      </c>
      <c r="C479" s="103" t="s">
        <v>4448</v>
      </c>
      <c r="D479" s="103">
        <v>1</v>
      </c>
      <c r="E479" s="103" t="s">
        <v>4432</v>
      </c>
      <c r="F479" s="104" t="s">
        <v>6463</v>
      </c>
      <c r="G479" s="103" t="s">
        <v>4330</v>
      </c>
      <c r="H479" s="103" t="s">
        <v>4331</v>
      </c>
      <c r="I479" s="142" t="s">
        <v>4343</v>
      </c>
      <c r="J479" s="149" t="s">
        <v>6469</v>
      </c>
      <c r="K479" s="149" t="s">
        <v>6470</v>
      </c>
      <c r="L479" s="149" t="s">
        <v>6471</v>
      </c>
      <c r="M479" s="103" t="s">
        <v>4333</v>
      </c>
      <c r="N479" s="103" t="s">
        <v>4459</v>
      </c>
      <c r="O479" s="105">
        <v>46064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149" t="s">
        <v>6469</v>
      </c>
      <c r="AC479" s="149" t="s">
        <v>6470</v>
      </c>
      <c r="AD479" s="149" t="s">
        <v>6471</v>
      </c>
      <c r="AE479" s="103" t="s">
        <v>4343</v>
      </c>
      <c r="AF479" s="112" t="s">
        <v>4333</v>
      </c>
      <c r="AG479" s="194">
        <v>29415.63</v>
      </c>
      <c r="AH479" s="194">
        <f>AG479+30000</f>
        <v>59415.630000000005</v>
      </c>
      <c r="AI479" s="103" t="s">
        <v>4447</v>
      </c>
      <c r="AJ479" s="104" t="s">
        <v>4438</v>
      </c>
      <c r="AK479" s="103">
        <v>153413980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6472</v>
      </c>
      <c r="AQ479" s="103" t="s">
        <v>4338</v>
      </c>
      <c r="AR479" s="103" t="s">
        <v>4338</v>
      </c>
      <c r="AS479" s="103" t="s">
        <v>4338</v>
      </c>
      <c r="AT479" s="103" t="s">
        <v>4338</v>
      </c>
      <c r="AU479" s="105">
        <v>46153</v>
      </c>
      <c r="AV479" s="103" t="s">
        <v>4338</v>
      </c>
      <c r="AW479" s="103" t="s">
        <v>4338</v>
      </c>
      <c r="AX479" s="105">
        <v>46161</v>
      </c>
      <c r="AY479" s="106">
        <v>46161</v>
      </c>
      <c r="AZ479" s="106" t="s">
        <v>4453</v>
      </c>
      <c r="BA479" s="107" t="s">
        <v>4454</v>
      </c>
      <c r="BB479" s="112" t="s">
        <v>4338</v>
      </c>
      <c r="BC479" s="220">
        <f t="shared" si="57"/>
        <v>97</v>
      </c>
      <c r="BD479" s="103" t="str">
        <f t="shared" si="58"/>
        <v>INDENIZAÇÃO</v>
      </c>
      <c r="BE479" s="103" t="str">
        <f t="shared" si="59"/>
        <v>NÃO</v>
      </c>
      <c r="BF479" s="112" t="s">
        <v>4357</v>
      </c>
      <c r="BG479" s="112" t="s">
        <v>4357</v>
      </c>
      <c r="BH479" s="112" t="s">
        <v>4357</v>
      </c>
      <c r="BI479" s="109" t="s">
        <v>5393</v>
      </c>
      <c r="BJ479" s="109"/>
      <c r="BK479" s="109"/>
      <c r="BL479" s="109"/>
      <c r="BM479" s="239"/>
      <c r="BN479" s="99"/>
      <c r="BO479" s="99"/>
      <c r="BP479" s="99"/>
      <c r="BQ479" s="99"/>
      <c r="BR479" s="99"/>
      <c r="BS479" s="99"/>
      <c r="BT479" s="99"/>
      <c r="BU479" s="99"/>
      <c r="BV479" s="99"/>
      <c r="BW479" s="99"/>
      <c r="BX479" s="99"/>
      <c r="BY479" s="99"/>
      <c r="BZ479" s="99"/>
      <c r="CA479" s="99"/>
      <c r="CB479" s="99"/>
      <c r="CC479" s="99"/>
      <c r="CD479" s="99"/>
      <c r="CE479" s="99"/>
      <c r="CF479" s="99"/>
      <c r="CG479" s="99"/>
      <c r="CH479" s="99"/>
      <c r="CI479" s="99"/>
      <c r="CJ479" s="99"/>
      <c r="CK479" s="99"/>
      <c r="CL479" s="99"/>
      <c r="CM479" s="99"/>
      <c r="CN479" s="99"/>
      <c r="CO479" s="99"/>
      <c r="CP479" s="99"/>
      <c r="CQ479" s="99"/>
      <c r="CR479" s="99"/>
      <c r="CS479" s="99"/>
      <c r="CT479" s="99"/>
      <c r="CU479" s="99"/>
      <c r="CV479" s="99"/>
      <c r="CW479" s="99"/>
      <c r="CX479" s="99"/>
      <c r="CY479" s="99"/>
      <c r="CZ479" s="99"/>
      <c r="DA479" s="99"/>
      <c r="DB479" s="99"/>
      <c r="DC479" s="99"/>
    </row>
    <row r="480" spans="1:107" s="232" customFormat="1" ht="29.25" customHeight="1">
      <c r="A480" s="103">
        <v>471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6473</v>
      </c>
      <c r="G480" s="103" t="s">
        <v>4330</v>
      </c>
      <c r="H480" s="103" t="s">
        <v>4331</v>
      </c>
      <c r="I480" s="103" t="s">
        <v>4343</v>
      </c>
      <c r="J480" s="149" t="s">
        <v>6474</v>
      </c>
      <c r="K480" s="149" t="s">
        <v>6475</v>
      </c>
      <c r="L480" s="149" t="s">
        <v>6476</v>
      </c>
      <c r="M480" s="103" t="s">
        <v>4333</v>
      </c>
      <c r="N480" s="103" t="s">
        <v>4459</v>
      </c>
      <c r="O480" s="105">
        <v>46093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6474</v>
      </c>
      <c r="AC480" s="149" t="s">
        <v>6475</v>
      </c>
      <c r="AD480" s="149" t="s">
        <v>6476</v>
      </c>
      <c r="AE480" s="103" t="s">
        <v>4343</v>
      </c>
      <c r="AF480" s="103" t="s">
        <v>4333</v>
      </c>
      <c r="AG480" s="194">
        <v>83679.75</v>
      </c>
      <c r="AH480" s="194">
        <v>83679.75</v>
      </c>
      <c r="AI480" s="103" t="s">
        <v>4336</v>
      </c>
      <c r="AJ480" s="104" t="s">
        <v>4438</v>
      </c>
      <c r="AK480" s="103">
        <v>150531066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6477</v>
      </c>
      <c r="AQ480" s="103" t="s">
        <v>4338</v>
      </c>
      <c r="AR480" s="103" t="s">
        <v>4338</v>
      </c>
      <c r="AS480" s="103" t="s">
        <v>4338</v>
      </c>
      <c r="AT480" s="165" t="s">
        <v>4338</v>
      </c>
      <c r="AU480" s="105">
        <v>46128</v>
      </c>
      <c r="AV480" s="103" t="s">
        <v>4338</v>
      </c>
      <c r="AW480" s="165" t="s">
        <v>4338</v>
      </c>
      <c r="AX480" s="105">
        <v>46139</v>
      </c>
      <c r="AY480" s="106">
        <v>46139</v>
      </c>
      <c r="AZ480" s="106" t="s">
        <v>4453</v>
      </c>
      <c r="BA480" s="107" t="s">
        <v>4454</v>
      </c>
      <c r="BB480" s="136" t="s">
        <v>4338</v>
      </c>
      <c r="BC480" s="220">
        <f t="shared" si="57"/>
        <v>46</v>
      </c>
      <c r="BD480" s="103" t="str">
        <f t="shared" si="58"/>
        <v>INDENIZAÇÃO</v>
      </c>
      <c r="BE480" s="103" t="str">
        <f t="shared" si="59"/>
        <v>NÃO</v>
      </c>
      <c r="BF480" s="112" t="s">
        <v>4357</v>
      </c>
      <c r="BG480" s="112" t="s">
        <v>4357</v>
      </c>
      <c r="BH480" s="112" t="s">
        <v>4357</v>
      </c>
      <c r="BI480" s="109" t="s">
        <v>5393</v>
      </c>
      <c r="BJ480" s="109"/>
      <c r="BK480" s="109"/>
      <c r="BL480" s="109"/>
      <c r="BM480" s="239"/>
    </row>
    <row r="481" spans="1:69" s="232" customFormat="1" ht="29.25" customHeight="1">
      <c r="A481" s="103">
        <v>472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6473</v>
      </c>
      <c r="G481" s="103" t="s">
        <v>4330</v>
      </c>
      <c r="H481" s="103" t="s">
        <v>4342</v>
      </c>
      <c r="I481" s="153" t="s">
        <v>4332</v>
      </c>
      <c r="J481" s="149" t="s">
        <v>6478</v>
      </c>
      <c r="K481" s="149" t="s">
        <v>6479</v>
      </c>
      <c r="L481" s="149" t="s">
        <v>6480</v>
      </c>
      <c r="M481" s="103" t="s">
        <v>4333</v>
      </c>
      <c r="N481" s="103" t="s">
        <v>4459</v>
      </c>
      <c r="O481" s="105">
        <v>46059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6478</v>
      </c>
      <c r="AC481" s="149" t="s">
        <v>6479</v>
      </c>
      <c r="AD481" s="149" t="s">
        <v>6480</v>
      </c>
      <c r="AE481" s="153" t="s">
        <v>4332</v>
      </c>
      <c r="AF481" s="103" t="s">
        <v>4333</v>
      </c>
      <c r="AG481" s="194">
        <v>77783.350000000006</v>
      </c>
      <c r="AH481" s="194">
        <v>77783.350000000006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6481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46128</v>
      </c>
      <c r="AV481" s="103" t="s">
        <v>4338</v>
      </c>
      <c r="AW481" s="103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 t="shared" si="57"/>
        <v>80</v>
      </c>
      <c r="BD481" s="103" t="str">
        <f t="shared" si="58"/>
        <v>INDENIZAÇÃO</v>
      </c>
      <c r="BE481" s="103" t="str">
        <f t="shared" si="59"/>
        <v>NÃO</v>
      </c>
      <c r="BF481" s="112" t="s">
        <v>4357</v>
      </c>
      <c r="BG481" s="112" t="s">
        <v>4357</v>
      </c>
      <c r="BH481" s="112" t="s">
        <v>4357</v>
      </c>
      <c r="BI481" s="109" t="s">
        <v>5393</v>
      </c>
      <c r="BJ481" s="109"/>
      <c r="BK481" s="109"/>
      <c r="BL481" s="109"/>
      <c r="BM481" s="239"/>
    </row>
    <row r="482" spans="1:69" s="232" customFormat="1" ht="29.25" customHeight="1">
      <c r="A482" s="165">
        <v>473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6482</v>
      </c>
      <c r="G482" s="103" t="s">
        <v>6483</v>
      </c>
      <c r="H482" s="103" t="s">
        <v>6483</v>
      </c>
      <c r="I482" s="151" t="s">
        <v>4332</v>
      </c>
      <c r="J482" s="149" t="s">
        <v>6484</v>
      </c>
      <c r="K482" s="149" t="s">
        <v>6485</v>
      </c>
      <c r="L482" s="149" t="s">
        <v>6486</v>
      </c>
      <c r="M482" s="103" t="s">
        <v>4333</v>
      </c>
      <c r="N482" s="103" t="s">
        <v>4459</v>
      </c>
      <c r="O482" s="105">
        <v>46076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6484</v>
      </c>
      <c r="AC482" s="149" t="s">
        <v>6485</v>
      </c>
      <c r="AD482" s="149" t="s">
        <v>6486</v>
      </c>
      <c r="AE482" s="153" t="s">
        <v>4332</v>
      </c>
      <c r="AF482" s="103" t="s">
        <v>4333</v>
      </c>
      <c r="AG482" s="194">
        <v>66126.44</v>
      </c>
      <c r="AH482" s="194">
        <v>66126.44</v>
      </c>
      <c r="AI482" s="103" t="s">
        <v>4336</v>
      </c>
      <c r="AJ482" s="104" t="s">
        <v>4438</v>
      </c>
      <c r="AK482" s="103">
        <v>148266044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6487</v>
      </c>
      <c r="AQ482" s="98" t="s">
        <v>4338</v>
      </c>
      <c r="AR482" s="103" t="s">
        <v>4338</v>
      </c>
      <c r="AS482" s="103" t="s">
        <v>4338</v>
      </c>
      <c r="AT482" s="103" t="s">
        <v>4338</v>
      </c>
      <c r="AU482" s="105">
        <v>46153</v>
      </c>
      <c r="AV482" s="103" t="s">
        <v>4338</v>
      </c>
      <c r="AW482" s="103" t="s">
        <v>4338</v>
      </c>
      <c r="AX482" s="105">
        <v>46182</v>
      </c>
      <c r="AY482" s="106">
        <v>46182</v>
      </c>
      <c r="AZ482" s="286" t="s">
        <v>4453</v>
      </c>
      <c r="BA482" s="287" t="s">
        <v>4454</v>
      </c>
      <c r="BB482" s="288" t="s">
        <v>4338</v>
      </c>
      <c r="BC482" s="220">
        <f t="shared" si="57"/>
        <v>106</v>
      </c>
      <c r="BD482" s="103" t="str">
        <f t="shared" si="58"/>
        <v>INDENIZAÇÃO</v>
      </c>
      <c r="BE482" s="103" t="str">
        <f t="shared" si="59"/>
        <v>NÃO</v>
      </c>
      <c r="BF482" s="289" t="s">
        <v>4357</v>
      </c>
      <c r="BG482" s="250" t="s">
        <v>4357</v>
      </c>
      <c r="BH482" s="250" t="s">
        <v>4357</v>
      </c>
      <c r="BI482" s="290" t="s">
        <v>5393</v>
      </c>
      <c r="BJ482" s="154"/>
      <c r="BK482" s="154"/>
      <c r="BL482" s="154"/>
      <c r="BM482" s="237"/>
    </row>
    <row r="483" spans="1:69" s="232" customFormat="1" ht="29.25" customHeight="1">
      <c r="A483" s="165">
        <v>474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6488</v>
      </c>
      <c r="G483" s="103" t="s">
        <v>4330</v>
      </c>
      <c r="H483" s="103" t="s">
        <v>4331</v>
      </c>
      <c r="I483" s="98" t="s">
        <v>4343</v>
      </c>
      <c r="J483" s="149" t="s">
        <v>6489</v>
      </c>
      <c r="K483" s="149" t="s">
        <v>6490</v>
      </c>
      <c r="L483" s="149" t="s">
        <v>6491</v>
      </c>
      <c r="M483" s="103" t="s">
        <v>4333</v>
      </c>
      <c r="N483" s="103" t="s">
        <v>4345</v>
      </c>
      <c r="O483" s="105">
        <v>46080</v>
      </c>
      <c r="P483" s="105">
        <v>46084</v>
      </c>
      <c r="Q483" s="105" t="s">
        <v>4436</v>
      </c>
      <c r="R483" s="105">
        <v>46083</v>
      </c>
      <c r="S483" s="108">
        <v>46084</v>
      </c>
      <c r="T483" s="108">
        <v>46087</v>
      </c>
      <c r="U483" s="108">
        <v>46090</v>
      </c>
      <c r="V483" s="105" t="s">
        <v>4437</v>
      </c>
      <c r="W483" s="105" t="s">
        <v>4437</v>
      </c>
      <c r="X483" s="105">
        <v>46101</v>
      </c>
      <c r="Y483" s="105">
        <v>46104</v>
      </c>
      <c r="Z483" s="105"/>
      <c r="AA483" s="105"/>
      <c r="AB483" s="149" t="s">
        <v>6489</v>
      </c>
      <c r="AC483" s="149" t="s">
        <v>6490</v>
      </c>
      <c r="AD483" s="149" t="s">
        <v>6491</v>
      </c>
      <c r="AE483" s="142" t="s">
        <v>4343</v>
      </c>
      <c r="AF483" s="103" t="s">
        <v>4333</v>
      </c>
      <c r="AG483" s="194" t="s">
        <v>4356</v>
      </c>
      <c r="AH483" s="194" t="s">
        <v>4356</v>
      </c>
      <c r="AI483" s="103" t="s">
        <v>4355</v>
      </c>
      <c r="AJ483" s="104" t="s">
        <v>4438</v>
      </c>
      <c r="AK483" s="103"/>
      <c r="AL483" s="103"/>
      <c r="AM483" s="103"/>
      <c r="AN483" s="103"/>
      <c r="AO483" s="112"/>
      <c r="AP483" s="171"/>
      <c r="AQ483" s="112"/>
      <c r="AR483" s="112"/>
      <c r="AS483" s="112"/>
      <c r="AT483" s="112"/>
      <c r="AU483" s="112"/>
      <c r="AV483" s="112"/>
      <c r="AW483" s="112"/>
      <c r="AX483" s="112"/>
      <c r="AY483" s="166"/>
      <c r="AZ483" s="108"/>
      <c r="BA483" s="112"/>
      <c r="BB483" s="112"/>
      <c r="BC483" s="220" t="str">
        <f t="shared" si="57"/>
        <v/>
      </c>
      <c r="BD483" s="103" t="str">
        <f t="shared" si="58"/>
        <v>AA</v>
      </c>
      <c r="BE483" s="103" t="str">
        <f t="shared" si="59"/>
        <v>NÃO</v>
      </c>
      <c r="BF483" s="112"/>
      <c r="BG483" s="147"/>
      <c r="BH483" s="147"/>
      <c r="BI483" s="112"/>
      <c r="BJ483" s="112"/>
      <c r="BK483" s="112"/>
      <c r="BL483" s="112"/>
      <c r="BM483" s="236"/>
    </row>
    <row r="484" spans="1:69" s="232" customFormat="1" ht="29.25" customHeight="1">
      <c r="A484" s="165">
        <v>475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6492</v>
      </c>
      <c r="G484" s="103" t="s">
        <v>4330</v>
      </c>
      <c r="H484" s="103" t="s">
        <v>4331</v>
      </c>
      <c r="I484" s="103" t="s">
        <v>4343</v>
      </c>
      <c r="J484" s="149" t="s">
        <v>6493</v>
      </c>
      <c r="K484" s="149" t="s">
        <v>6494</v>
      </c>
      <c r="L484" s="149" t="s">
        <v>6495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46101</v>
      </c>
      <c r="Z484" s="105"/>
      <c r="AA484" s="105"/>
      <c r="AB484" s="149" t="s">
        <v>6493</v>
      </c>
      <c r="AC484" s="149" t="s">
        <v>6494</v>
      </c>
      <c r="AD484" s="149" t="s">
        <v>6495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95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57"/>
        <v/>
      </c>
      <c r="BD484" s="103" t="str">
        <f t="shared" si="58"/>
        <v>AA</v>
      </c>
      <c r="BE484" s="103" t="str">
        <f t="shared" si="59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03">
        <v>476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103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46106</v>
      </c>
      <c r="Q485" s="105" t="s">
        <v>4436</v>
      </c>
      <c r="R485" s="105">
        <v>46106</v>
      </c>
      <c r="S485" s="105">
        <v>46107</v>
      </c>
      <c r="T485" s="105">
        <v>46111</v>
      </c>
      <c r="U485" s="105">
        <v>46087</v>
      </c>
      <c r="V485" s="105" t="s">
        <v>4437</v>
      </c>
      <c r="W485" s="105" t="s">
        <v>4437</v>
      </c>
      <c r="X485" s="105">
        <v>46132</v>
      </c>
      <c r="Y485" s="105">
        <v>46129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7"/>
        <v/>
      </c>
      <c r="BD485" s="103" t="str">
        <f t="shared" si="58"/>
        <v>AA</v>
      </c>
      <c r="BE485" s="103" t="str">
        <f t="shared" si="5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477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46086</v>
      </c>
      <c r="P486" s="108">
        <v>46090</v>
      </c>
      <c r="Q486" s="108" t="s">
        <v>4436</v>
      </c>
      <c r="R486" s="105">
        <v>46090</v>
      </c>
      <c r="S486" s="105">
        <v>46099</v>
      </c>
      <c r="T486" s="105">
        <v>46101</v>
      </c>
      <c r="U486" s="105">
        <v>46118</v>
      </c>
      <c r="V486" s="105" t="s">
        <v>4437</v>
      </c>
      <c r="W486" s="105" t="s">
        <v>4437</v>
      </c>
      <c r="X486" s="105">
        <v>46118</v>
      </c>
      <c r="Y486" s="105">
        <v>46119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7"/>
        <v/>
      </c>
      <c r="BD486" s="103" t="str">
        <f t="shared" si="58"/>
        <v>AA</v>
      </c>
      <c r="BE486" s="103" t="str">
        <f t="shared" si="5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478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4459</v>
      </c>
      <c r="O487" s="105">
        <v>46129</v>
      </c>
      <c r="P487" s="105" t="s">
        <v>4356</v>
      </c>
      <c r="Q487" s="105" t="s">
        <v>4356</v>
      </c>
      <c r="R487" s="105" t="s">
        <v>4356</v>
      </c>
      <c r="S487" s="105" t="s">
        <v>4356</v>
      </c>
      <c r="T487" s="105" t="s">
        <v>4356</v>
      </c>
      <c r="U487" s="105" t="s">
        <v>4356</v>
      </c>
      <c r="V487" s="105" t="s">
        <v>4356</v>
      </c>
      <c r="W487" s="105" t="s">
        <v>4356</v>
      </c>
      <c r="X487" s="105" t="s">
        <v>4356</v>
      </c>
      <c r="Y487" s="105" t="s">
        <v>4356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03" t="s">
        <v>4343</v>
      </c>
      <c r="AF487" s="103" t="s">
        <v>4333</v>
      </c>
      <c r="AG487" s="194">
        <v>27649.74</v>
      </c>
      <c r="AH487" s="194">
        <f>AG487+30000</f>
        <v>57649.740000000005</v>
      </c>
      <c r="AI487" s="103" t="s">
        <v>4447</v>
      </c>
      <c r="AJ487" s="104" t="s">
        <v>4438</v>
      </c>
      <c r="AK487" s="103">
        <v>153982110</v>
      </c>
      <c r="AL487" s="103" t="s">
        <v>4338</v>
      </c>
      <c r="AM487" s="103" t="s">
        <v>4338</v>
      </c>
      <c r="AN487" s="103" t="s">
        <v>4339</v>
      </c>
      <c r="AO487" s="112"/>
      <c r="AP487" s="277" t="s">
        <v>6508</v>
      </c>
      <c r="AQ487" s="259" t="s">
        <v>4338</v>
      </c>
      <c r="AR487" s="112" t="s">
        <v>4338</v>
      </c>
      <c r="AS487" s="112" t="s">
        <v>4338</v>
      </c>
      <c r="AT487" s="112" t="s">
        <v>4338</v>
      </c>
      <c r="AU487" s="105">
        <v>46226</v>
      </c>
      <c r="AV487" s="112" t="s">
        <v>4338</v>
      </c>
      <c r="AW487" s="109" t="s">
        <v>4453</v>
      </c>
      <c r="AX487" s="109"/>
      <c r="AY487" s="157"/>
      <c r="AZ487" s="157"/>
      <c r="BA487" s="109" t="s">
        <v>4330</v>
      </c>
      <c r="BB487" s="112"/>
      <c r="BC487" s="220" t="str">
        <f t="shared" si="57"/>
        <v/>
      </c>
      <c r="BD487" s="103" t="str">
        <f t="shared" si="58"/>
        <v>INDENIZAÇÃO</v>
      </c>
      <c r="BE487" s="103" t="str">
        <f t="shared" si="5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65">
        <v>479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6509</v>
      </c>
      <c r="G488" s="103" t="s">
        <v>4330</v>
      </c>
      <c r="H488" s="103" t="s">
        <v>4331</v>
      </c>
      <c r="I488" s="103" t="s">
        <v>4343</v>
      </c>
      <c r="J488" s="149" t="s">
        <v>6510</v>
      </c>
      <c r="K488" s="149" t="s">
        <v>6511</v>
      </c>
      <c r="L488" s="149" t="s">
        <v>6512</v>
      </c>
      <c r="M488" s="103" t="s">
        <v>4333</v>
      </c>
      <c r="N488" s="103" t="s">
        <v>4345</v>
      </c>
      <c r="O488" s="105">
        <v>46080</v>
      </c>
      <c r="P488" s="105">
        <v>46084</v>
      </c>
      <c r="Q488" s="105" t="s">
        <v>4436</v>
      </c>
      <c r="R488" s="105">
        <v>46083</v>
      </c>
      <c r="S488" s="108">
        <v>46084</v>
      </c>
      <c r="T488" s="108">
        <v>46087</v>
      </c>
      <c r="U488" s="108">
        <v>46090</v>
      </c>
      <c r="V488" s="105" t="s">
        <v>4437</v>
      </c>
      <c r="W488" s="105" t="s">
        <v>4437</v>
      </c>
      <c r="X488" s="105">
        <v>46101</v>
      </c>
      <c r="Y488" s="105">
        <v>46101</v>
      </c>
      <c r="Z488" s="105"/>
      <c r="AA488" s="105"/>
      <c r="AB488" s="149" t="s">
        <v>6510</v>
      </c>
      <c r="AC488" s="149" t="s">
        <v>6511</v>
      </c>
      <c r="AD488" s="149" t="s">
        <v>6512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7"/>
        <v/>
      </c>
      <c r="BD488" s="103" t="str">
        <f t="shared" si="58"/>
        <v>AA</v>
      </c>
      <c r="BE488" s="103" t="str">
        <f t="shared" si="5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customHeight="1">
      <c r="A489" s="165">
        <v>480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6513</v>
      </c>
      <c r="G489" s="103" t="s">
        <v>4330</v>
      </c>
      <c r="H489" s="103" t="s">
        <v>4331</v>
      </c>
      <c r="I489" s="103" t="s">
        <v>4343</v>
      </c>
      <c r="J489" s="149" t="s">
        <v>6514</v>
      </c>
      <c r="K489" s="149" t="s">
        <v>6515</v>
      </c>
      <c r="L489" s="149" t="s">
        <v>6516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6514</v>
      </c>
      <c r="AC489" s="149" t="s">
        <v>6515</v>
      </c>
      <c r="AD489" s="149" t="s">
        <v>6516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270" t="s">
        <v>4432</v>
      </c>
      <c r="AL489" s="103" t="s">
        <v>4357</v>
      </c>
      <c r="AM489" s="103" t="s">
        <v>4357</v>
      </c>
      <c r="AN489" s="103" t="s">
        <v>4357</v>
      </c>
      <c r="AO489" s="112"/>
      <c r="AP489" s="103" t="s">
        <v>4357</v>
      </c>
      <c r="AQ489" s="103" t="s">
        <v>4357</v>
      </c>
      <c r="AR489" s="103" t="s">
        <v>4357</v>
      </c>
      <c r="AS489" s="103" t="s">
        <v>4357</v>
      </c>
      <c r="AT489" s="103" t="s">
        <v>4357</v>
      </c>
      <c r="AU489" s="103" t="s">
        <v>4357</v>
      </c>
      <c r="AV489" s="103" t="s">
        <v>4357</v>
      </c>
      <c r="AW489" s="103" t="s">
        <v>4357</v>
      </c>
      <c r="AX489" s="112"/>
      <c r="AY489" s="166"/>
      <c r="AZ489" s="108"/>
      <c r="BA489" s="112"/>
      <c r="BB489" s="112"/>
      <c r="BC489" s="220" t="str">
        <f t="shared" si="57"/>
        <v/>
      </c>
      <c r="BD489" s="103" t="str">
        <f t="shared" si="58"/>
        <v>AA</v>
      </c>
      <c r="BE489" s="103" t="str">
        <f t="shared" si="5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481</v>
      </c>
      <c r="B490" s="103" t="s">
        <v>4431</v>
      </c>
      <c r="C490" s="103" t="s">
        <v>4448</v>
      </c>
      <c r="D490" s="103">
        <v>1</v>
      </c>
      <c r="E490" s="103" t="s">
        <v>4432</v>
      </c>
      <c r="F490" s="104" t="s">
        <v>6517</v>
      </c>
      <c r="G490" s="103" t="s">
        <v>4330</v>
      </c>
      <c r="H490" s="103" t="s">
        <v>4331</v>
      </c>
      <c r="I490" s="142" t="s">
        <v>6518</v>
      </c>
      <c r="J490" s="149" t="s">
        <v>6519</v>
      </c>
      <c r="K490" s="149" t="s">
        <v>4432</v>
      </c>
      <c r="L490" s="149" t="s">
        <v>6520</v>
      </c>
      <c r="M490" s="103" t="s">
        <v>4333</v>
      </c>
      <c r="N490" s="103" t="s">
        <v>4345</v>
      </c>
      <c r="O490" s="105">
        <v>45996</v>
      </c>
      <c r="P490" s="105">
        <v>46031</v>
      </c>
      <c r="Q490" s="105" t="s">
        <v>4436</v>
      </c>
      <c r="R490" s="105">
        <v>46023</v>
      </c>
      <c r="S490" s="105">
        <v>46023</v>
      </c>
      <c r="T490" s="105">
        <v>46036</v>
      </c>
      <c r="U490" s="105">
        <v>46045</v>
      </c>
      <c r="V490" s="105" t="s">
        <v>4437</v>
      </c>
      <c r="W490" s="105" t="s">
        <v>4437</v>
      </c>
      <c r="X490" s="105">
        <v>46055</v>
      </c>
      <c r="Y490" s="105">
        <v>46059</v>
      </c>
      <c r="Z490" s="108"/>
      <c r="AA490" s="112"/>
      <c r="AB490" s="149" t="s">
        <v>6519</v>
      </c>
      <c r="AC490" s="149" t="s">
        <v>4432</v>
      </c>
      <c r="AD490" s="149" t="s">
        <v>6520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5"/>
      <c r="BA490" s="103"/>
      <c r="BB490" s="136"/>
      <c r="BC490" s="220" t="str">
        <f t="shared" si="57"/>
        <v/>
      </c>
      <c r="BD490" s="103" t="str">
        <f t="shared" si="58"/>
        <v>AA</v>
      </c>
      <c r="BE490" s="103" t="str">
        <f t="shared" si="59"/>
        <v>NÃO</v>
      </c>
      <c r="BF490" s="140"/>
      <c r="BG490" s="140"/>
      <c r="BH490" s="140"/>
      <c r="BI490" s="140"/>
      <c r="BJ490" s="140"/>
      <c r="BK490" s="140"/>
      <c r="BL490" s="140"/>
      <c r="BM490" s="238"/>
    </row>
    <row r="491" spans="1:69" s="232" customFormat="1" ht="29.25" customHeight="1">
      <c r="A491" s="103">
        <v>482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6521</v>
      </c>
      <c r="G491" s="103" t="s">
        <v>4330</v>
      </c>
      <c r="H491" s="103" t="s">
        <v>4331</v>
      </c>
      <c r="I491" s="142" t="s">
        <v>4343</v>
      </c>
      <c r="J491" s="149" t="s">
        <v>6522</v>
      </c>
      <c r="K491" s="149" t="s">
        <v>6523</v>
      </c>
      <c r="L491" s="149" t="s">
        <v>6524</v>
      </c>
      <c r="M491" s="103" t="s">
        <v>4333</v>
      </c>
      <c r="N491" s="103" t="s">
        <v>4459</v>
      </c>
      <c r="O491" s="105">
        <v>46076</v>
      </c>
      <c r="P491" s="105" t="s">
        <v>4356</v>
      </c>
      <c r="Q491" s="105" t="s">
        <v>4356</v>
      </c>
      <c r="R491" s="105" t="s">
        <v>4356</v>
      </c>
      <c r="S491" s="105" t="s">
        <v>4356</v>
      </c>
      <c r="T491" s="105" t="s">
        <v>4356</v>
      </c>
      <c r="U491" s="105" t="s">
        <v>4356</v>
      </c>
      <c r="V491" s="105" t="s">
        <v>4356</v>
      </c>
      <c r="W491" s="105" t="s">
        <v>4356</v>
      </c>
      <c r="X491" s="105" t="s">
        <v>4356</v>
      </c>
      <c r="Y491" s="105" t="s">
        <v>4356</v>
      </c>
      <c r="Z491" s="105"/>
      <c r="AA491" s="105"/>
      <c r="AB491" s="149" t="s">
        <v>6522</v>
      </c>
      <c r="AC491" s="149" t="s">
        <v>6523</v>
      </c>
      <c r="AD491" s="149" t="s">
        <v>6524</v>
      </c>
      <c r="AE491" s="103" t="s">
        <v>4343</v>
      </c>
      <c r="AF491" s="112" t="s">
        <v>4333</v>
      </c>
      <c r="AG491" s="194">
        <v>42817.58</v>
      </c>
      <c r="AH491" s="194">
        <v>60000</v>
      </c>
      <c r="AI491" s="103" t="s">
        <v>4447</v>
      </c>
      <c r="AJ491" s="104" t="s">
        <v>4438</v>
      </c>
      <c r="AK491" s="103">
        <v>150611783</v>
      </c>
      <c r="AL491" s="103" t="s">
        <v>4338</v>
      </c>
      <c r="AM491" s="103" t="s">
        <v>4338</v>
      </c>
      <c r="AN491" s="103" t="s">
        <v>4339</v>
      </c>
      <c r="AO491" s="112"/>
      <c r="AP491" s="171" t="s">
        <v>6525</v>
      </c>
      <c r="AQ491" s="103" t="s">
        <v>4338</v>
      </c>
      <c r="AR491" s="103" t="s">
        <v>4338</v>
      </c>
      <c r="AS491" s="103" t="s">
        <v>4338</v>
      </c>
      <c r="AT491" s="103" t="s">
        <v>4338</v>
      </c>
      <c r="AU491" s="105">
        <v>46118</v>
      </c>
      <c r="AV491" s="103" t="s">
        <v>4338</v>
      </c>
      <c r="AW491" s="103" t="s">
        <v>4338</v>
      </c>
      <c r="AX491" s="105">
        <v>46126</v>
      </c>
      <c r="AY491" s="106">
        <v>46126</v>
      </c>
      <c r="AZ491" s="106" t="s">
        <v>4453</v>
      </c>
      <c r="BA491" s="174" t="s">
        <v>4454</v>
      </c>
      <c r="BB491" s="136" t="s">
        <v>4338</v>
      </c>
      <c r="BC491" s="220">
        <f t="shared" si="57"/>
        <v>50</v>
      </c>
      <c r="BD491" s="103" t="str">
        <f t="shared" si="58"/>
        <v>INDENIZAÇÃO</v>
      </c>
      <c r="BE491" s="103" t="str">
        <f t="shared" si="59"/>
        <v>NÃO</v>
      </c>
      <c r="BF491" s="140" t="s">
        <v>4357</v>
      </c>
      <c r="BG491" s="140" t="s">
        <v>4357</v>
      </c>
      <c r="BH491" s="140" t="s">
        <v>4357</v>
      </c>
      <c r="BI491" s="154" t="s">
        <v>5393</v>
      </c>
      <c r="BJ491" s="154"/>
      <c r="BK491" s="154"/>
      <c r="BL491" s="154"/>
      <c r="BM491" s="237"/>
      <c r="BN491" s="231"/>
      <c r="BO491" s="231"/>
      <c r="BP491" s="231"/>
      <c r="BQ491" s="231"/>
    </row>
    <row r="492" spans="1:69" s="232" customFormat="1" ht="29.25" customHeight="1">
      <c r="A492" s="103">
        <v>483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6526</v>
      </c>
      <c r="G492" s="103" t="s">
        <v>4330</v>
      </c>
      <c r="H492" s="103" t="s">
        <v>4331</v>
      </c>
      <c r="I492" s="142" t="s">
        <v>4343</v>
      </c>
      <c r="J492" s="149" t="s">
        <v>6527</v>
      </c>
      <c r="K492" s="149" t="s">
        <v>4432</v>
      </c>
      <c r="L492" s="149" t="s">
        <v>6528</v>
      </c>
      <c r="M492" s="103" t="s">
        <v>4333</v>
      </c>
      <c r="N492" s="103" t="s">
        <v>4345</v>
      </c>
      <c r="O492" s="105">
        <v>45980</v>
      </c>
      <c r="P492" s="105">
        <v>45986</v>
      </c>
      <c r="Q492" s="108" t="s">
        <v>4436</v>
      </c>
      <c r="R492" s="108">
        <v>45985</v>
      </c>
      <c r="S492" s="108">
        <v>45986</v>
      </c>
      <c r="T492" s="108">
        <v>45987</v>
      </c>
      <c r="U492" s="108">
        <v>45992</v>
      </c>
      <c r="V492" s="105" t="s">
        <v>4437</v>
      </c>
      <c r="W492" s="105" t="s">
        <v>4437</v>
      </c>
      <c r="X492" s="105">
        <v>45999</v>
      </c>
      <c r="Y492" s="105">
        <v>46001</v>
      </c>
      <c r="Z492" s="105"/>
      <c r="AA492" s="103"/>
      <c r="AB492" s="149" t="s">
        <v>6527</v>
      </c>
      <c r="AC492" s="149" t="s">
        <v>4432</v>
      </c>
      <c r="AD492" s="149" t="s">
        <v>6528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212" t="s">
        <v>4355</v>
      </c>
      <c r="AJ492" s="104" t="s">
        <v>4438</v>
      </c>
      <c r="AK492" s="103"/>
      <c r="AL492" s="103"/>
      <c r="AM492" s="103"/>
      <c r="AN492" s="103"/>
      <c r="AO492" s="103"/>
      <c r="AP492" s="171"/>
      <c r="AQ492" s="103"/>
      <c r="AR492" s="103"/>
      <c r="AS492" s="103" t="s">
        <v>4356</v>
      </c>
      <c r="AT492" s="103" t="s">
        <v>4356</v>
      </c>
      <c r="AU492" s="103" t="s">
        <v>4356</v>
      </c>
      <c r="AV492" s="103" t="s">
        <v>4356</v>
      </c>
      <c r="AW492" s="103"/>
      <c r="AX492" s="105"/>
      <c r="AY492" s="166"/>
      <c r="AZ492" s="105"/>
      <c r="BA492" s="103"/>
      <c r="BB492" s="136"/>
      <c r="BC492" s="220" t="str">
        <f t="shared" si="57"/>
        <v/>
      </c>
      <c r="BD492" s="103" t="str">
        <f t="shared" si="58"/>
        <v>AA</v>
      </c>
      <c r="BE492" s="103" t="str">
        <f t="shared" si="5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69" s="232" customFormat="1" ht="29.25" customHeight="1">
      <c r="A493" s="103">
        <v>484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6531</v>
      </c>
      <c r="L493" s="149" t="s">
        <v>6532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8" t="s">
        <v>4437</v>
      </c>
      <c r="W493" s="108" t="s">
        <v>4437</v>
      </c>
      <c r="X493" s="105">
        <v>45999</v>
      </c>
      <c r="Y493" s="105">
        <v>46000</v>
      </c>
      <c r="Z493" s="105"/>
      <c r="AA493" s="103"/>
      <c r="AB493" s="149" t="s">
        <v>6530</v>
      </c>
      <c r="AC493" s="149" t="s">
        <v>6531</v>
      </c>
      <c r="AD493" s="149" t="s">
        <v>6532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0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57"/>
        <v/>
      </c>
      <c r="BD493" s="103" t="str">
        <f t="shared" si="58"/>
        <v>AA</v>
      </c>
      <c r="BE493" s="103" t="str">
        <f t="shared" si="59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65">
        <v>485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6533</v>
      </c>
      <c r="G494" s="103" t="s">
        <v>4330</v>
      </c>
      <c r="H494" s="103" t="s">
        <v>4331</v>
      </c>
      <c r="I494" s="142" t="s">
        <v>4343</v>
      </c>
      <c r="J494" s="149" t="s">
        <v>6534</v>
      </c>
      <c r="K494" s="149" t="s">
        <v>6535</v>
      </c>
      <c r="L494" s="149" t="s">
        <v>6536</v>
      </c>
      <c r="M494" s="103" t="s">
        <v>4333</v>
      </c>
      <c r="N494" s="103" t="s">
        <v>4459</v>
      </c>
      <c r="O494" s="105">
        <v>46097</v>
      </c>
      <c r="P494" s="105" t="s">
        <v>4356</v>
      </c>
      <c r="Q494" s="105" t="s">
        <v>4356</v>
      </c>
      <c r="R494" s="105" t="s">
        <v>4356</v>
      </c>
      <c r="S494" s="105" t="s">
        <v>4356</v>
      </c>
      <c r="T494" s="105" t="s">
        <v>4356</v>
      </c>
      <c r="U494" s="105" t="s">
        <v>4356</v>
      </c>
      <c r="V494" s="105" t="s">
        <v>4356</v>
      </c>
      <c r="W494" s="105" t="s">
        <v>4356</v>
      </c>
      <c r="X494" s="105" t="s">
        <v>4356</v>
      </c>
      <c r="Y494" s="105" t="s">
        <v>4356</v>
      </c>
      <c r="Z494" s="105"/>
      <c r="AA494" s="105"/>
      <c r="AB494" s="204" t="s">
        <v>6534</v>
      </c>
      <c r="AC494" s="204" t="s">
        <v>6535</v>
      </c>
      <c r="AD494" s="204" t="s">
        <v>6536</v>
      </c>
      <c r="AE494" s="165" t="s">
        <v>4343</v>
      </c>
      <c r="AF494" s="165" t="s">
        <v>4333</v>
      </c>
      <c r="AG494" s="208">
        <v>60697.24</v>
      </c>
      <c r="AH494" s="208">
        <v>60697.24</v>
      </c>
      <c r="AI494" s="165" t="s">
        <v>4336</v>
      </c>
      <c r="AJ494" s="104" t="s">
        <v>4438</v>
      </c>
      <c r="AK494" s="103">
        <v>150997684</v>
      </c>
      <c r="AL494" s="142" t="s">
        <v>4338</v>
      </c>
      <c r="AM494" s="103" t="s">
        <v>4338</v>
      </c>
      <c r="AN494" s="103" t="s">
        <v>4339</v>
      </c>
      <c r="AO494" s="103"/>
      <c r="AP494" s="171" t="s">
        <v>6537</v>
      </c>
      <c r="AQ494" s="103" t="s">
        <v>4338</v>
      </c>
      <c r="AR494" s="103" t="s">
        <v>4338</v>
      </c>
      <c r="AS494" s="103" t="s">
        <v>4338</v>
      </c>
      <c r="AT494" s="103" t="s">
        <v>4338</v>
      </c>
      <c r="AU494" s="105">
        <v>46153</v>
      </c>
      <c r="AV494" s="103" t="s">
        <v>4338</v>
      </c>
      <c r="AW494" s="103" t="s">
        <v>4338</v>
      </c>
      <c r="AX494" s="105">
        <v>46157</v>
      </c>
      <c r="AY494" s="106">
        <v>46157</v>
      </c>
      <c r="AZ494" s="106" t="s">
        <v>4453</v>
      </c>
      <c r="BA494" s="107" t="s">
        <v>4454</v>
      </c>
      <c r="BB494" s="136" t="s">
        <v>4338</v>
      </c>
      <c r="BC494" s="220">
        <f t="shared" si="57"/>
        <v>60</v>
      </c>
      <c r="BD494" s="103" t="str">
        <f t="shared" si="58"/>
        <v>INDENIZAÇÃO</v>
      </c>
      <c r="BE494" s="103" t="str">
        <f t="shared" si="59"/>
        <v>NÃO</v>
      </c>
      <c r="BF494" s="140" t="s">
        <v>4357</v>
      </c>
      <c r="BG494" s="140" t="s">
        <v>4357</v>
      </c>
      <c r="BH494" s="140" t="s">
        <v>4357</v>
      </c>
      <c r="BI494" s="154" t="s">
        <v>5393</v>
      </c>
      <c r="BJ494" s="154"/>
      <c r="BK494" s="154"/>
      <c r="BL494" s="154"/>
      <c r="BM494" s="237"/>
    </row>
    <row r="495" spans="1:69" s="232" customFormat="1" ht="29.25" customHeight="1">
      <c r="A495" s="165">
        <v>486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6538</v>
      </c>
      <c r="G495" s="103" t="s">
        <v>4330</v>
      </c>
      <c r="H495" s="103" t="s">
        <v>4331</v>
      </c>
      <c r="I495" s="142" t="s">
        <v>4343</v>
      </c>
      <c r="J495" s="149" t="s">
        <v>6539</v>
      </c>
      <c r="K495" s="149" t="s">
        <v>6540</v>
      </c>
      <c r="L495" s="149" t="s">
        <v>6541</v>
      </c>
      <c r="M495" s="103" t="s">
        <v>4333</v>
      </c>
      <c r="N495" s="103" t="s">
        <v>4345</v>
      </c>
      <c r="O495" s="105">
        <v>46001</v>
      </c>
      <c r="P495" s="105">
        <v>46106</v>
      </c>
      <c r="Q495" s="105" t="s">
        <v>4436</v>
      </c>
      <c r="R495" s="105">
        <v>46106</v>
      </c>
      <c r="S495" s="105">
        <v>46107</v>
      </c>
      <c r="T495" s="105">
        <v>46111</v>
      </c>
      <c r="U495" s="105">
        <v>46087</v>
      </c>
      <c r="V495" s="105" t="s">
        <v>4437</v>
      </c>
      <c r="W495" s="105" t="s">
        <v>4437</v>
      </c>
      <c r="X495" s="105">
        <v>46132</v>
      </c>
      <c r="Y495" s="105">
        <v>46129</v>
      </c>
      <c r="Z495" s="108"/>
      <c r="AA495" s="112"/>
      <c r="AB495" s="149" t="s">
        <v>6539</v>
      </c>
      <c r="AC495" s="149" t="s">
        <v>6540</v>
      </c>
      <c r="AD495" s="149" t="s">
        <v>6541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165" t="s">
        <v>4355</v>
      </c>
      <c r="AJ495" s="104" t="s">
        <v>4438</v>
      </c>
      <c r="AK495" s="103"/>
      <c r="AL495" s="103"/>
      <c r="AM495" s="103"/>
      <c r="AN495" s="103"/>
      <c r="AO495" s="112"/>
      <c r="AP495" s="171"/>
      <c r="AQ495" s="112"/>
      <c r="AR495" s="112"/>
      <c r="AS495" s="112"/>
      <c r="AT495" s="112"/>
      <c r="AU495" s="112"/>
      <c r="AV495" s="112"/>
      <c r="AW495" s="112"/>
      <c r="AX495" s="112"/>
      <c r="AY495" s="166"/>
      <c r="AZ495" s="108"/>
      <c r="BA495" s="112"/>
      <c r="BB495" s="112"/>
      <c r="BC495" s="220" t="str">
        <f t="shared" si="57"/>
        <v/>
      </c>
      <c r="BD495" s="103" t="str">
        <f t="shared" si="58"/>
        <v>AA</v>
      </c>
      <c r="BE495" s="103" t="str">
        <f t="shared" si="59"/>
        <v>NÃO</v>
      </c>
      <c r="BF495" s="112"/>
      <c r="BG495" s="147"/>
      <c r="BH495" s="147"/>
      <c r="BI495" s="112"/>
      <c r="BJ495" s="112"/>
      <c r="BK495" s="112"/>
      <c r="BL495" s="112"/>
      <c r="BM495" s="236"/>
    </row>
    <row r="496" spans="1:69" s="232" customFormat="1" ht="29.25" customHeight="1">
      <c r="A496" s="165">
        <v>487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6542</v>
      </c>
      <c r="G496" s="103" t="s">
        <v>4330</v>
      </c>
      <c r="H496" s="103" t="s">
        <v>4331</v>
      </c>
      <c r="I496" s="142" t="s">
        <v>4343</v>
      </c>
      <c r="J496" s="149" t="s">
        <v>6543</v>
      </c>
      <c r="K496" s="149"/>
      <c r="L496" s="149" t="s">
        <v>6544</v>
      </c>
      <c r="M496" s="103" t="s">
        <v>4333</v>
      </c>
      <c r="N496" s="103" t="s">
        <v>4345</v>
      </c>
      <c r="O496" s="105"/>
      <c r="P496" s="105">
        <v>46176</v>
      </c>
      <c r="Q496" s="105" t="s">
        <v>4436</v>
      </c>
      <c r="R496" s="105">
        <v>46174</v>
      </c>
      <c r="S496" s="105">
        <v>46176</v>
      </c>
      <c r="T496" s="105">
        <v>46202</v>
      </c>
      <c r="U496" s="105">
        <v>46204</v>
      </c>
      <c r="V496" s="105" t="s">
        <v>4437</v>
      </c>
      <c r="W496" s="105" t="s">
        <v>4437</v>
      </c>
      <c r="X496" s="105">
        <v>46223</v>
      </c>
      <c r="Y496" s="105"/>
      <c r="Z496" s="108"/>
      <c r="AA496" s="112"/>
      <c r="AB496" s="149"/>
      <c r="AC496" s="149"/>
      <c r="AD496" s="149"/>
      <c r="AE496" s="142"/>
      <c r="AF496" s="103"/>
      <c r="AG496" s="194"/>
      <c r="AH496" s="194"/>
      <c r="AI496" s="165"/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95"/>
      <c r="AU496" s="112"/>
      <c r="AV496" s="112"/>
      <c r="AW496" s="99"/>
      <c r="AX496" s="99"/>
      <c r="AY496" s="166"/>
      <c r="AZ496" s="108"/>
      <c r="BA496" s="112"/>
      <c r="BB496" s="112"/>
      <c r="BC496" s="220"/>
      <c r="BD496" s="103"/>
      <c r="BE496" s="103"/>
      <c r="BF496" s="112"/>
      <c r="BG496" s="147"/>
      <c r="BH496" s="147"/>
      <c r="BI496" s="112"/>
      <c r="BJ496" s="112"/>
      <c r="BK496" s="112"/>
      <c r="BL496" s="112"/>
      <c r="BM496" s="236"/>
    </row>
    <row r="497" spans="1:107" s="232" customFormat="1" ht="29.25" customHeight="1">
      <c r="A497" s="103">
        <v>488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 t="s">
        <v>4457</v>
      </c>
      <c r="L497" s="149" t="s">
        <v>6547</v>
      </c>
      <c r="M497" s="103" t="s">
        <v>4333</v>
      </c>
      <c r="N497" s="103" t="s">
        <v>4459</v>
      </c>
      <c r="O497" s="105"/>
      <c r="P497" s="105" t="s">
        <v>4356</v>
      </c>
      <c r="Q497" s="105" t="s">
        <v>4356</v>
      </c>
      <c r="R497" s="105" t="s">
        <v>4356</v>
      </c>
      <c r="S497" s="105" t="s">
        <v>4356</v>
      </c>
      <c r="T497" s="105" t="s">
        <v>4356</v>
      </c>
      <c r="U497" s="105" t="s">
        <v>4356</v>
      </c>
      <c r="V497" s="105" t="s">
        <v>4356</v>
      </c>
      <c r="W497" s="105" t="s">
        <v>4356</v>
      </c>
      <c r="X497" s="105" t="s">
        <v>4356</v>
      </c>
      <c r="Y497" s="105" t="s">
        <v>4356</v>
      </c>
      <c r="Z497" s="105"/>
      <c r="AA497" s="105"/>
      <c r="AB497" s="149" t="s">
        <v>6546</v>
      </c>
      <c r="AC497" s="149" t="s">
        <v>4457</v>
      </c>
      <c r="AD497" s="149" t="s">
        <v>6547</v>
      </c>
      <c r="AE497" s="103" t="s">
        <v>6104</v>
      </c>
      <c r="AF497" s="103" t="s">
        <v>5044</v>
      </c>
      <c r="AG497" s="194"/>
      <c r="AH497" s="194"/>
      <c r="AI497" s="103"/>
      <c r="AJ497" s="104" t="s">
        <v>4438</v>
      </c>
      <c r="AK497" s="104"/>
      <c r="AL497" s="142"/>
      <c r="AM497" s="103"/>
      <c r="AN497" s="103"/>
      <c r="AO497" s="103"/>
      <c r="AP497" s="171"/>
      <c r="AQ497" s="107"/>
      <c r="AR497" s="107"/>
      <c r="AS497" s="107"/>
      <c r="AT497" s="174"/>
      <c r="AU497" s="106"/>
      <c r="AV497" s="109"/>
      <c r="AW497" s="283"/>
      <c r="AX497" s="285"/>
      <c r="AY497" s="166"/>
      <c r="AZ497" s="106"/>
      <c r="BA497" s="107"/>
      <c r="BB497" s="136"/>
      <c r="BC497" s="220" t="str">
        <f t="shared" ref="BC497:BC521" si="60">IF(AY497-KD497=0,"",AY497-O497)</f>
        <v/>
      </c>
      <c r="BD497" s="103" t="str">
        <f t="shared" ref="BD497:BD521" si="61">IF(AND(AI497&lt;&gt;"SIM",AI497="UH"),"AA","INDENIZAÇÃO")</f>
        <v>INDENIZAÇÃO</v>
      </c>
      <c r="BE497" s="103" t="str">
        <f t="shared" ref="BE497:BE521" si="62">IF(AND(AY497&lt;&gt;"AGUARDANDO",AY497&lt;&gt;"",N497="AUXÍLIO ALUGUEL ATÉ INDENIZAÇÃO"),"SIM","NÃO")</f>
        <v>NÃO</v>
      </c>
      <c r="BF497" s="140"/>
      <c r="BG497" s="140"/>
      <c r="BH497" s="140"/>
      <c r="BI497" s="140"/>
      <c r="BJ497" s="140"/>
      <c r="BK497" s="140"/>
      <c r="BL497" s="140"/>
      <c r="BM497" s="238"/>
    </row>
    <row r="498" spans="1:107" s="232" customFormat="1" ht="29.25" customHeight="1">
      <c r="A498" s="103">
        <v>489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4345</v>
      </c>
      <c r="O498" s="105">
        <v>45980</v>
      </c>
      <c r="P498" s="105">
        <v>45986</v>
      </c>
      <c r="Q498" s="108" t="s">
        <v>4436</v>
      </c>
      <c r="R498" s="108">
        <v>45985</v>
      </c>
      <c r="S498" s="108">
        <v>45986</v>
      </c>
      <c r="T498" s="108">
        <v>45987</v>
      </c>
      <c r="U498" s="108">
        <v>45992</v>
      </c>
      <c r="V498" s="105" t="s">
        <v>4437</v>
      </c>
      <c r="W498" s="105" t="s">
        <v>4437</v>
      </c>
      <c r="X498" s="105">
        <v>45999</v>
      </c>
      <c r="Y498" s="105">
        <v>46000</v>
      </c>
      <c r="Z498" s="105"/>
      <c r="AA498" s="103"/>
      <c r="AB498" s="149" t="s">
        <v>6549</v>
      </c>
      <c r="AC498" s="149" t="s">
        <v>6550</v>
      </c>
      <c r="AD498" s="149" t="s">
        <v>6551</v>
      </c>
      <c r="AE498" s="142" t="s">
        <v>4343</v>
      </c>
      <c r="AF498" s="103" t="s">
        <v>4333</v>
      </c>
      <c r="AG498" s="194" t="s">
        <v>4356</v>
      </c>
      <c r="AH498" s="194" t="s">
        <v>4356</v>
      </c>
      <c r="AI498" s="212" t="s">
        <v>4355</v>
      </c>
      <c r="AJ498" s="104" t="s">
        <v>4438</v>
      </c>
      <c r="AK498" s="103"/>
      <c r="AL498" s="103"/>
      <c r="AM498" s="103"/>
      <c r="AN498" s="103"/>
      <c r="AO498" s="103"/>
      <c r="AP498" s="171"/>
      <c r="AQ498" s="103"/>
      <c r="AR498" s="103"/>
      <c r="AS498" s="103" t="s">
        <v>4356</v>
      </c>
      <c r="AT498" s="103" t="s">
        <v>4356</v>
      </c>
      <c r="AU498" s="103" t="s">
        <v>4356</v>
      </c>
      <c r="AV498" s="103" t="s">
        <v>4356</v>
      </c>
      <c r="AW498" s="103"/>
      <c r="AX498" s="105"/>
      <c r="AY498" s="166"/>
      <c r="AZ498" s="105"/>
      <c r="BA498" s="103"/>
      <c r="BB498" s="136"/>
      <c r="BC498" s="220" t="str">
        <f t="shared" si="60"/>
        <v/>
      </c>
      <c r="BD498" s="103" t="str">
        <f t="shared" si="61"/>
        <v>AA</v>
      </c>
      <c r="BE498" s="103" t="str">
        <f t="shared" si="62"/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107" s="232" customFormat="1" ht="29.25" customHeight="1">
      <c r="A499" s="103">
        <v>490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0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0"/>
        <v/>
      </c>
      <c r="BD499" s="103" t="str">
        <f t="shared" si="61"/>
        <v>AA</v>
      </c>
      <c r="BE499" s="103" t="str">
        <f t="shared" si="62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107" s="232" customFormat="1" ht="29.25" customHeight="1">
      <c r="A500" s="165">
        <v>491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45996</v>
      </c>
      <c r="P500" s="105">
        <v>46002</v>
      </c>
      <c r="Q500" s="105" t="s">
        <v>4436</v>
      </c>
      <c r="R500" s="105">
        <v>45999</v>
      </c>
      <c r="S500" s="105">
        <v>46006</v>
      </c>
      <c r="T500" s="105">
        <v>46006</v>
      </c>
      <c r="U500" s="105">
        <v>46009</v>
      </c>
      <c r="V500" s="105" t="s">
        <v>4437</v>
      </c>
      <c r="W500" s="105" t="s">
        <v>4437</v>
      </c>
      <c r="X500" s="105">
        <v>46014</v>
      </c>
      <c r="Y500" s="105">
        <v>46017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165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/>
      <c r="AT500" s="103"/>
      <c r="AU500" s="105"/>
      <c r="AV500" s="112"/>
      <c r="AW500" s="103"/>
      <c r="AX500" s="105"/>
      <c r="AY500" s="166"/>
      <c r="AZ500" s="105"/>
      <c r="BA500" s="103"/>
      <c r="BB500" s="136"/>
      <c r="BC500" s="220" t="str">
        <f t="shared" si="60"/>
        <v/>
      </c>
      <c r="BD500" s="103" t="str">
        <f t="shared" si="61"/>
        <v>AA</v>
      </c>
      <c r="BE500" s="103" t="str">
        <f t="shared" si="6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107" s="232" customFormat="1" ht="29.25" customHeight="1">
      <c r="A501" s="165">
        <v>492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4459</v>
      </c>
      <c r="O501" s="105">
        <v>46059</v>
      </c>
      <c r="P501" s="105" t="s">
        <v>4356</v>
      </c>
      <c r="Q501" s="105" t="s">
        <v>4356</v>
      </c>
      <c r="R501" s="105" t="s">
        <v>4356</v>
      </c>
      <c r="S501" s="105" t="s">
        <v>4356</v>
      </c>
      <c r="T501" s="105" t="s">
        <v>4356</v>
      </c>
      <c r="U501" s="105" t="s">
        <v>4356</v>
      </c>
      <c r="V501" s="105" t="s">
        <v>4356</v>
      </c>
      <c r="W501" s="105" t="s">
        <v>4356</v>
      </c>
      <c r="X501" s="105" t="s">
        <v>4356</v>
      </c>
      <c r="Y501" s="105" t="s">
        <v>4356</v>
      </c>
      <c r="Z501" s="105"/>
      <c r="AA501" s="105"/>
      <c r="AB501" s="149" t="s">
        <v>6561</v>
      </c>
      <c r="AC501" s="149" t="s">
        <v>6562</v>
      </c>
      <c r="AD501" s="149" t="s">
        <v>6563</v>
      </c>
      <c r="AE501" s="103" t="s">
        <v>4343</v>
      </c>
      <c r="AF501" s="103" t="s">
        <v>4333</v>
      </c>
      <c r="AG501" s="194">
        <v>40843.19</v>
      </c>
      <c r="AH501" s="194">
        <v>60000</v>
      </c>
      <c r="AI501" s="103" t="s">
        <v>4336</v>
      </c>
      <c r="AJ501" s="104" t="s">
        <v>4438</v>
      </c>
      <c r="AK501" s="103">
        <v>147059440</v>
      </c>
      <c r="AL501" s="103" t="s">
        <v>4338</v>
      </c>
      <c r="AM501" s="103" t="s">
        <v>4338</v>
      </c>
      <c r="AN501" s="103" t="s">
        <v>4339</v>
      </c>
      <c r="AO501" s="103"/>
      <c r="AP501" s="171" t="s">
        <v>6564</v>
      </c>
      <c r="AQ501" s="103" t="s">
        <v>4338</v>
      </c>
      <c r="AR501" s="103" t="s">
        <v>4338</v>
      </c>
      <c r="AS501" s="103" t="s">
        <v>4338</v>
      </c>
      <c r="AT501" s="103" t="s">
        <v>4338</v>
      </c>
      <c r="AU501" s="105">
        <v>46128</v>
      </c>
      <c r="AV501" s="103" t="s">
        <v>4338</v>
      </c>
      <c r="AW501" s="103" t="s">
        <v>4338</v>
      </c>
      <c r="AX501" s="105">
        <v>46139</v>
      </c>
      <c r="AY501" s="106">
        <v>46139</v>
      </c>
      <c r="AZ501" s="106" t="s">
        <v>4453</v>
      </c>
      <c r="BA501" s="107" t="s">
        <v>4454</v>
      </c>
      <c r="BB501" s="136" t="s">
        <v>4338</v>
      </c>
      <c r="BC501" s="220">
        <f t="shared" si="60"/>
        <v>80</v>
      </c>
      <c r="BD501" s="103" t="str">
        <f t="shared" si="61"/>
        <v>INDENIZAÇÃO</v>
      </c>
      <c r="BE501" s="103" t="str">
        <f t="shared" si="62"/>
        <v>NÃO</v>
      </c>
      <c r="BF501" s="112" t="s">
        <v>4357</v>
      </c>
      <c r="BG501" s="112" t="s">
        <v>4357</v>
      </c>
      <c r="BH501" s="112" t="s">
        <v>4357</v>
      </c>
      <c r="BI501" s="109" t="s">
        <v>5393</v>
      </c>
      <c r="BJ501" s="109"/>
      <c r="BK501" s="109"/>
      <c r="BL501" s="109"/>
      <c r="BM501" s="239"/>
    </row>
    <row r="502" spans="1:107" s="232" customFormat="1" ht="29.25" customHeight="1">
      <c r="A502" s="165">
        <v>493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6565</v>
      </c>
      <c r="G502" s="103" t="s">
        <v>4330</v>
      </c>
      <c r="H502" s="103" t="s">
        <v>4331</v>
      </c>
      <c r="I502" s="142" t="s">
        <v>4343</v>
      </c>
      <c r="J502" s="149" t="s">
        <v>6566</v>
      </c>
      <c r="K502" s="149" t="s">
        <v>6567</v>
      </c>
      <c r="L502" s="149" t="s">
        <v>6568</v>
      </c>
      <c r="M502" s="103" t="s">
        <v>4333</v>
      </c>
      <c r="N502" s="103" t="s">
        <v>4345</v>
      </c>
      <c r="O502" s="105">
        <v>45980</v>
      </c>
      <c r="P502" s="105">
        <v>45986</v>
      </c>
      <c r="Q502" s="108" t="s">
        <v>4436</v>
      </c>
      <c r="R502" s="108">
        <v>45985</v>
      </c>
      <c r="S502" s="108">
        <v>45986</v>
      </c>
      <c r="T502" s="108">
        <v>45987</v>
      </c>
      <c r="U502" s="108">
        <v>45992</v>
      </c>
      <c r="V502" s="105" t="s">
        <v>4437</v>
      </c>
      <c r="W502" s="105" t="s">
        <v>4437</v>
      </c>
      <c r="X502" s="105">
        <v>45999</v>
      </c>
      <c r="Y502" s="105">
        <v>46000</v>
      </c>
      <c r="Z502" s="105"/>
      <c r="AA502" s="103"/>
      <c r="AB502" s="149" t="s">
        <v>6566</v>
      </c>
      <c r="AC502" s="149" t="s">
        <v>6567</v>
      </c>
      <c r="AD502" s="149" t="s">
        <v>6568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212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 t="s">
        <v>4356</v>
      </c>
      <c r="AT502" s="103" t="s">
        <v>4356</v>
      </c>
      <c r="AU502" s="103" t="s">
        <v>4356</v>
      </c>
      <c r="AV502" s="103" t="s">
        <v>4356</v>
      </c>
      <c r="AW502" s="103"/>
      <c r="AX502" s="105"/>
      <c r="AY502" s="166"/>
      <c r="AZ502" s="105"/>
      <c r="BA502" s="103"/>
      <c r="BB502" s="136"/>
      <c r="BC502" s="220" t="str">
        <f t="shared" si="60"/>
        <v/>
      </c>
      <c r="BD502" s="103" t="str">
        <f t="shared" si="61"/>
        <v>AA</v>
      </c>
      <c r="BE502" s="103" t="str">
        <f t="shared" si="6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107" s="232" customFormat="1" ht="29.25" customHeight="1">
      <c r="A503" s="103">
        <v>494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0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0"/>
        <v/>
      </c>
      <c r="BD503" s="103" t="str">
        <f t="shared" si="61"/>
        <v>AA</v>
      </c>
      <c r="BE503" s="103" t="str">
        <f t="shared" si="62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107" s="232" customFormat="1" ht="29.25" customHeight="1">
      <c r="A504" s="103">
        <v>495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46041</v>
      </c>
      <c r="P504" s="105">
        <v>46176</v>
      </c>
      <c r="Q504" s="105" t="s">
        <v>4436</v>
      </c>
      <c r="R504" s="105">
        <v>46174</v>
      </c>
      <c r="S504" s="105">
        <v>46176</v>
      </c>
      <c r="T504" s="105">
        <v>46202</v>
      </c>
      <c r="U504" s="105">
        <v>46204</v>
      </c>
      <c r="V504" s="105" t="s">
        <v>4437</v>
      </c>
      <c r="W504" s="105" t="s">
        <v>4437</v>
      </c>
      <c r="X504" s="105">
        <v>46223</v>
      </c>
      <c r="Y504" s="105"/>
      <c r="Z504" s="105"/>
      <c r="AA504" s="105"/>
      <c r="AB504" s="204" t="s">
        <v>6574</v>
      </c>
      <c r="AC504" s="204" t="s">
        <v>6575</v>
      </c>
      <c r="AD504" s="204" t="s">
        <v>6576</v>
      </c>
      <c r="AE504" s="165" t="s">
        <v>4343</v>
      </c>
      <c r="AF504" s="165" t="s">
        <v>4333</v>
      </c>
      <c r="AG504" s="208"/>
      <c r="AH504" s="208"/>
      <c r="AI504" s="165"/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/>
      <c r="AT504" s="103"/>
      <c r="AU504" s="105"/>
      <c r="AV504" s="112"/>
      <c r="AW504" s="103"/>
      <c r="AX504" s="105"/>
      <c r="AY504" s="166"/>
      <c r="AZ504" s="105"/>
      <c r="BA504" s="103"/>
      <c r="BB504" s="136"/>
      <c r="BC504" s="220" t="str">
        <f t="shared" si="60"/>
        <v/>
      </c>
      <c r="BD504" s="103" t="str">
        <f t="shared" si="61"/>
        <v>INDENIZAÇÃO</v>
      </c>
      <c r="BE504" s="103" t="str">
        <f t="shared" si="6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107" s="232" customFormat="1" ht="29.25" customHeight="1">
      <c r="A505" s="103">
        <v>496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8">
        <v>46044</v>
      </c>
      <c r="Q505" s="108" t="s">
        <v>4436</v>
      </c>
      <c r="R505" s="108">
        <v>46043</v>
      </c>
      <c r="S505" s="108">
        <v>46044</v>
      </c>
      <c r="T505" s="108">
        <v>46045</v>
      </c>
      <c r="U505" s="108">
        <v>46155</v>
      </c>
      <c r="V505" s="105" t="s">
        <v>4437</v>
      </c>
      <c r="W505" s="105" t="s">
        <v>4437</v>
      </c>
      <c r="X505" s="105">
        <v>46055</v>
      </c>
      <c r="Y505" s="105">
        <v>46057</v>
      </c>
      <c r="Z505" s="105"/>
      <c r="AA505" s="103"/>
      <c r="AB505" s="149" t="s">
        <v>6578</v>
      </c>
      <c r="AC505" s="149" t="s">
        <v>6579</v>
      </c>
      <c r="AD505" s="149" t="s">
        <v>6580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103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0"/>
        <v/>
      </c>
      <c r="BD505" s="103" t="str">
        <f t="shared" si="61"/>
        <v>AA</v>
      </c>
      <c r="BE505" s="103" t="str">
        <f t="shared" si="6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107" s="232" customFormat="1" ht="29.25" customHeight="1">
      <c r="A506" s="165">
        <v>497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45980</v>
      </c>
      <c r="P506" s="105">
        <v>45986</v>
      </c>
      <c r="Q506" s="108" t="s">
        <v>4436</v>
      </c>
      <c r="R506" s="108">
        <v>45985</v>
      </c>
      <c r="S506" s="108">
        <v>45986</v>
      </c>
      <c r="T506" s="108">
        <v>45987</v>
      </c>
      <c r="U506" s="108">
        <v>45992</v>
      </c>
      <c r="V506" s="108" t="s">
        <v>4437</v>
      </c>
      <c r="W506" s="108" t="s">
        <v>4437</v>
      </c>
      <c r="X506" s="105">
        <v>45999</v>
      </c>
      <c r="Y506" s="105">
        <v>46017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212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 t="s">
        <v>4356</v>
      </c>
      <c r="AT506" s="103" t="s">
        <v>4356</v>
      </c>
      <c r="AU506" s="103" t="s">
        <v>4356</v>
      </c>
      <c r="AV506" s="103" t="s">
        <v>4356</v>
      </c>
      <c r="AW506" s="103"/>
      <c r="AX506" s="105"/>
      <c r="AY506" s="166"/>
      <c r="AZ506" s="105"/>
      <c r="BA506" s="103"/>
      <c r="BB506" s="136"/>
      <c r="BC506" s="220" t="str">
        <f t="shared" si="60"/>
        <v/>
      </c>
      <c r="BD506" s="103" t="str">
        <f t="shared" si="61"/>
        <v>AA</v>
      </c>
      <c r="BE506" s="103" t="str">
        <f t="shared" si="6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107" s="232" customFormat="1" ht="29.25" customHeight="1">
      <c r="A507" s="165">
        <v>498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5" t="s">
        <v>4437</v>
      </c>
      <c r="W507" s="105" t="s">
        <v>4437</v>
      </c>
      <c r="X507" s="105">
        <v>45999</v>
      </c>
      <c r="Y507" s="105">
        <v>46000</v>
      </c>
      <c r="Z507" s="108"/>
      <c r="AA507" s="112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0" t="s">
        <v>4355</v>
      </c>
      <c r="AJ507" s="104" t="s">
        <v>4438</v>
      </c>
      <c r="AK507" s="103"/>
      <c r="AL507" s="103"/>
      <c r="AM507" s="103"/>
      <c r="AN507" s="103"/>
      <c r="AO507" s="112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12"/>
      <c r="AX507" s="112"/>
      <c r="AY507" s="166"/>
      <c r="AZ507" s="105"/>
      <c r="BA507" s="103"/>
      <c r="BB507" s="136"/>
      <c r="BC507" s="220" t="str">
        <f t="shared" si="60"/>
        <v/>
      </c>
      <c r="BD507" s="103" t="str">
        <f t="shared" si="61"/>
        <v>AA</v>
      </c>
      <c r="BE507" s="103" t="str">
        <f t="shared" si="6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107" s="232" customFormat="1" ht="29.25" customHeight="1">
      <c r="A508" s="165">
        <v>499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14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5"/>
      <c r="AA508" s="103"/>
      <c r="AB508" s="114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0"/>
        <v/>
      </c>
      <c r="BD508" s="103" t="str">
        <f t="shared" si="61"/>
        <v>AA</v>
      </c>
      <c r="BE508" s="103" t="str">
        <f t="shared" si="6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107" s="232" customFormat="1" ht="29.25" customHeight="1">
      <c r="A509" s="103">
        <v>500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49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49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0"/>
        <v/>
      </c>
      <c r="BD509" s="103" t="str">
        <f t="shared" si="61"/>
        <v>AA</v>
      </c>
      <c r="BE509" s="103" t="str">
        <f t="shared" si="6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107" s="232" customFormat="1" ht="29.25" customHeight="1">
      <c r="A510" s="103">
        <v>501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03" t="s">
        <v>4343</v>
      </c>
      <c r="J510" s="149" t="s">
        <v>6598</v>
      </c>
      <c r="K510" s="149" t="s">
        <v>6575</v>
      </c>
      <c r="L510" s="149" t="s">
        <v>6599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6575</v>
      </c>
      <c r="AD510" s="149" t="s">
        <v>6599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0"/>
        <v/>
      </c>
      <c r="BD510" s="103" t="str">
        <f t="shared" si="61"/>
        <v>AA</v>
      </c>
      <c r="BE510" s="103" t="str">
        <f t="shared" si="6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107" s="232" customFormat="1" ht="29.25" customHeight="1">
      <c r="A511" s="103">
        <v>502</v>
      </c>
      <c r="B511" s="103" t="s">
        <v>4431</v>
      </c>
      <c r="C511" s="103" t="s">
        <v>4439</v>
      </c>
      <c r="D511" s="103">
        <v>1</v>
      </c>
      <c r="E511" s="103" t="s">
        <v>4432</v>
      </c>
      <c r="F511" s="104" t="s">
        <v>6597</v>
      </c>
      <c r="G511" s="103" t="s">
        <v>4330</v>
      </c>
      <c r="H511" s="103" t="s">
        <v>4331</v>
      </c>
      <c r="I511" s="103" t="s">
        <v>4343</v>
      </c>
      <c r="J511" s="149" t="s">
        <v>6600</v>
      </c>
      <c r="K511" s="149" t="s">
        <v>6601</v>
      </c>
      <c r="L511" s="149" t="s">
        <v>6602</v>
      </c>
      <c r="M511" s="103" t="s">
        <v>4333</v>
      </c>
      <c r="N511" s="103" t="s">
        <v>4345</v>
      </c>
      <c r="O511" s="108">
        <v>46134</v>
      </c>
      <c r="P511" s="105">
        <v>46147</v>
      </c>
      <c r="Q511" s="105" t="s">
        <v>4436</v>
      </c>
      <c r="R511" s="108">
        <v>46136</v>
      </c>
      <c r="S511" s="105">
        <v>46147</v>
      </c>
      <c r="T511" s="108">
        <v>46156</v>
      </c>
      <c r="U511" s="108">
        <v>46168</v>
      </c>
      <c r="V511" s="108" t="s">
        <v>4437</v>
      </c>
      <c r="W511" s="108" t="s">
        <v>4437</v>
      </c>
      <c r="X511" s="155">
        <v>46196</v>
      </c>
      <c r="Y511" s="108">
        <v>46196</v>
      </c>
      <c r="Z511" s="108"/>
      <c r="AA511" s="112"/>
      <c r="AB511" s="204" t="s">
        <v>6603</v>
      </c>
      <c r="AC511" s="204" t="s">
        <v>6601</v>
      </c>
      <c r="AD511" s="204" t="s">
        <v>6602</v>
      </c>
      <c r="AE511" s="165" t="s">
        <v>4343</v>
      </c>
      <c r="AF511" s="103" t="s">
        <v>4333</v>
      </c>
      <c r="AG511" s="194" t="s">
        <v>4356</v>
      </c>
      <c r="AH511" s="194" t="s">
        <v>4356</v>
      </c>
      <c r="AI511" s="165" t="s">
        <v>4355</v>
      </c>
      <c r="AJ511" s="104" t="s">
        <v>4438</v>
      </c>
      <c r="AK511" s="103"/>
      <c r="AL511" s="103"/>
      <c r="AM511" s="103"/>
      <c r="AN511" s="103"/>
      <c r="AO511" s="112"/>
      <c r="AP511" s="171"/>
      <c r="AQ511" s="112"/>
      <c r="AR511" s="112"/>
      <c r="AS511" s="112"/>
      <c r="AT511" s="112"/>
      <c r="AU511" s="112"/>
      <c r="AV511" s="112"/>
      <c r="AW511" s="112"/>
      <c r="AX511" s="112"/>
      <c r="AY511" s="166"/>
      <c r="AZ511" s="108"/>
      <c r="BA511" s="112"/>
      <c r="BB511" s="112"/>
      <c r="BC511" s="220" t="str">
        <f t="shared" si="60"/>
        <v/>
      </c>
      <c r="BD511" s="103" t="str">
        <f t="shared" si="61"/>
        <v>AA</v>
      </c>
      <c r="BE511" s="103" t="str">
        <f t="shared" si="62"/>
        <v>NÃO</v>
      </c>
      <c r="BF511" s="112"/>
      <c r="BG511" s="147"/>
      <c r="BH511" s="147"/>
      <c r="BI511" s="112"/>
      <c r="BJ511" s="112"/>
      <c r="BK511" s="112"/>
      <c r="BL511" s="112"/>
      <c r="BM511" s="236"/>
    </row>
    <row r="512" spans="1:107" s="232" customFormat="1" ht="29.25" customHeight="1">
      <c r="A512" s="165">
        <v>503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6604</v>
      </c>
      <c r="G512" s="103" t="s">
        <v>4330</v>
      </c>
      <c r="H512" s="103" t="s">
        <v>4331</v>
      </c>
      <c r="I512" s="103" t="s">
        <v>4343</v>
      </c>
      <c r="J512" s="149" t="s">
        <v>6605</v>
      </c>
      <c r="K512" s="149" t="s">
        <v>4432</v>
      </c>
      <c r="L512" s="149" t="s">
        <v>6606</v>
      </c>
      <c r="M512" s="103" t="s">
        <v>4333</v>
      </c>
      <c r="N512" s="103" t="s">
        <v>4345</v>
      </c>
      <c r="O512" s="105">
        <v>46080</v>
      </c>
      <c r="P512" s="105">
        <v>46084</v>
      </c>
      <c r="Q512" s="105" t="s">
        <v>4436</v>
      </c>
      <c r="R512" s="105">
        <v>46083</v>
      </c>
      <c r="S512" s="108">
        <v>46084</v>
      </c>
      <c r="T512" s="108">
        <v>46087</v>
      </c>
      <c r="U512" s="108">
        <v>46090</v>
      </c>
      <c r="V512" s="105" t="s">
        <v>4437</v>
      </c>
      <c r="W512" s="105" t="s">
        <v>4437</v>
      </c>
      <c r="X512" s="105">
        <v>46101</v>
      </c>
      <c r="Y512" s="105">
        <v>46104</v>
      </c>
      <c r="Z512" s="105"/>
      <c r="AA512" s="105"/>
      <c r="AB512" s="149" t="s">
        <v>6605</v>
      </c>
      <c r="AC512" s="149" t="s">
        <v>4432</v>
      </c>
      <c r="AD512" s="149" t="s">
        <v>6606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103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0"/>
        <v/>
      </c>
      <c r="BD512" s="103" t="str">
        <f t="shared" si="61"/>
        <v>AA</v>
      </c>
      <c r="BE512" s="103" t="str">
        <f t="shared" si="62"/>
        <v>NÃO</v>
      </c>
      <c r="BF512" s="112"/>
      <c r="BG512" s="147"/>
      <c r="BH512" s="147"/>
      <c r="BI512" s="112"/>
      <c r="BJ512" s="112"/>
      <c r="BK512" s="112"/>
      <c r="BL512" s="112"/>
      <c r="BM512" s="236"/>
      <c r="BN512" s="99"/>
      <c r="BO512" s="99"/>
      <c r="BP512" s="99"/>
      <c r="BQ512" s="99"/>
      <c r="BR512" s="99"/>
      <c r="BS512" s="99"/>
      <c r="BT512" s="99"/>
      <c r="BU512" s="99"/>
      <c r="BV512" s="99"/>
      <c r="BW512" s="99"/>
      <c r="BX512" s="99"/>
      <c r="BY512" s="99"/>
      <c r="BZ512" s="99"/>
      <c r="CA512" s="99"/>
      <c r="CB512" s="99"/>
      <c r="CC512" s="99"/>
      <c r="CD512" s="99"/>
      <c r="CE512" s="99"/>
      <c r="CF512" s="99"/>
      <c r="CG512" s="99"/>
      <c r="CH512" s="99"/>
      <c r="CI512" s="99"/>
      <c r="CJ512" s="99"/>
      <c r="CK512" s="99"/>
      <c r="CL512" s="99"/>
      <c r="CM512" s="99"/>
      <c r="CN512" s="99"/>
      <c r="CO512" s="99"/>
      <c r="CP512" s="99"/>
      <c r="CQ512" s="99"/>
      <c r="CR512" s="99"/>
      <c r="CS512" s="99"/>
      <c r="CT512" s="99"/>
      <c r="CU512" s="99"/>
      <c r="CV512" s="99"/>
      <c r="CW512" s="99"/>
      <c r="CX512" s="99"/>
      <c r="CY512" s="99"/>
      <c r="CZ512" s="99"/>
      <c r="DA512" s="99"/>
      <c r="DB512" s="99"/>
      <c r="DC512" s="99"/>
    </row>
    <row r="513" spans="1:107" s="232" customFormat="1" ht="29.25" customHeight="1">
      <c r="A513" s="165">
        <v>504</v>
      </c>
      <c r="B513" s="103" t="s">
        <v>4431</v>
      </c>
      <c r="C513" s="103" t="s">
        <v>4448</v>
      </c>
      <c r="D513" s="103">
        <v>1</v>
      </c>
      <c r="E513" s="103" t="s">
        <v>4432</v>
      </c>
      <c r="F513" s="104" t="s">
        <v>6604</v>
      </c>
      <c r="G513" s="103" t="s">
        <v>4330</v>
      </c>
      <c r="H513" s="103" t="s">
        <v>4331</v>
      </c>
      <c r="I513" s="142" t="s">
        <v>4925</v>
      </c>
      <c r="J513" s="149" t="s">
        <v>6607</v>
      </c>
      <c r="K513" s="149" t="s">
        <v>6608</v>
      </c>
      <c r="L513" s="149" t="s">
        <v>6609</v>
      </c>
      <c r="M513" s="103" t="s">
        <v>4333</v>
      </c>
      <c r="N513" s="103" t="s">
        <v>4345</v>
      </c>
      <c r="O513" s="105">
        <v>46064</v>
      </c>
      <c r="P513" s="108">
        <v>46031</v>
      </c>
      <c r="Q513" s="105" t="s">
        <v>4436</v>
      </c>
      <c r="R513" s="108">
        <v>46030</v>
      </c>
      <c r="S513" s="108">
        <v>46031</v>
      </c>
      <c r="T513" s="108">
        <v>46036</v>
      </c>
      <c r="U513" s="108">
        <v>46045</v>
      </c>
      <c r="V513" s="108" t="s">
        <v>4437</v>
      </c>
      <c r="W513" s="108" t="s">
        <v>4437</v>
      </c>
      <c r="X513" s="105">
        <v>46055</v>
      </c>
      <c r="Y513" s="105" t="s">
        <v>4457</v>
      </c>
      <c r="Z513" s="105"/>
      <c r="AA513" s="103" t="s">
        <v>6610</v>
      </c>
      <c r="AB513" s="149" t="s">
        <v>6611</v>
      </c>
      <c r="AC513" s="149" t="s">
        <v>6612</v>
      </c>
      <c r="AD513" s="149" t="s">
        <v>6613</v>
      </c>
      <c r="AE513" s="142" t="s">
        <v>4332</v>
      </c>
      <c r="AF513" s="103" t="s">
        <v>4333</v>
      </c>
      <c r="AG513" s="194">
        <v>29437.08</v>
      </c>
      <c r="AH513" s="194">
        <v>29437.08</v>
      </c>
      <c r="AI513" s="103" t="s">
        <v>4336</v>
      </c>
      <c r="AJ513" s="104" t="s">
        <v>4438</v>
      </c>
      <c r="AK513" s="103">
        <v>150612303</v>
      </c>
      <c r="AL513" s="103" t="s">
        <v>4338</v>
      </c>
      <c r="AM513" s="103" t="s">
        <v>4338</v>
      </c>
      <c r="AN513" s="103" t="s">
        <v>4339</v>
      </c>
      <c r="AO513" s="103"/>
      <c r="AP513" s="171" t="s">
        <v>6614</v>
      </c>
      <c r="AQ513" s="103" t="s">
        <v>4338</v>
      </c>
      <c r="AR513" s="103" t="s">
        <v>4338</v>
      </c>
      <c r="AS513" s="103" t="s">
        <v>4338</v>
      </c>
      <c r="AT513" s="103" t="s">
        <v>4338</v>
      </c>
      <c r="AU513" s="105">
        <v>46170</v>
      </c>
      <c r="AV513" s="103" t="s">
        <v>4338</v>
      </c>
      <c r="AW513" s="103" t="s">
        <v>4338</v>
      </c>
      <c r="AX513" s="105">
        <v>46182</v>
      </c>
      <c r="AY513" s="106">
        <v>46182</v>
      </c>
      <c r="AZ513" s="106" t="s">
        <v>4453</v>
      </c>
      <c r="BA513" s="107" t="s">
        <v>4454</v>
      </c>
      <c r="BB513" s="136" t="s">
        <v>4338</v>
      </c>
      <c r="BC513" s="220">
        <f t="shared" si="60"/>
        <v>118</v>
      </c>
      <c r="BD513" s="103" t="str">
        <f t="shared" si="61"/>
        <v>INDENIZAÇÃO</v>
      </c>
      <c r="BE513" s="103" t="str">
        <f t="shared" si="62"/>
        <v>NÃO</v>
      </c>
      <c r="BF513" s="140" t="s">
        <v>4357</v>
      </c>
      <c r="BG513" s="140" t="s">
        <v>4357</v>
      </c>
      <c r="BH513" s="140" t="s">
        <v>4357</v>
      </c>
      <c r="BI513" s="154" t="s">
        <v>5393</v>
      </c>
      <c r="BJ513" s="154"/>
      <c r="BK513" s="154"/>
      <c r="BL513" s="154"/>
      <c r="BM513" s="237"/>
      <c r="BN513" s="231"/>
    </row>
    <row r="514" spans="1:107" s="232" customFormat="1" ht="29.25" customHeight="1">
      <c r="A514" s="165">
        <v>505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6615</v>
      </c>
      <c r="G514" s="103" t="s">
        <v>4330</v>
      </c>
      <c r="H514" s="103" t="s">
        <v>4331</v>
      </c>
      <c r="I514" s="103" t="s">
        <v>4343</v>
      </c>
      <c r="J514" s="149" t="s">
        <v>6616</v>
      </c>
      <c r="K514" s="149" t="s">
        <v>4432</v>
      </c>
      <c r="L514" s="149" t="s">
        <v>6617</v>
      </c>
      <c r="M514" s="103" t="s">
        <v>4333</v>
      </c>
      <c r="N514" s="103" t="s">
        <v>4345</v>
      </c>
      <c r="O514" s="108">
        <v>46134</v>
      </c>
      <c r="P514" s="105">
        <v>46147</v>
      </c>
      <c r="Q514" s="105" t="s">
        <v>4436</v>
      </c>
      <c r="R514" s="108">
        <v>46136</v>
      </c>
      <c r="S514" s="105">
        <v>46147</v>
      </c>
      <c r="T514" s="108">
        <v>46156</v>
      </c>
      <c r="U514" s="108">
        <v>46168</v>
      </c>
      <c r="V514" s="108" t="s">
        <v>4437</v>
      </c>
      <c r="W514" s="108" t="s">
        <v>4437</v>
      </c>
      <c r="X514" s="155">
        <v>46196</v>
      </c>
      <c r="Y514" s="108">
        <v>46197</v>
      </c>
      <c r="Z514" s="108"/>
      <c r="AA514" s="112"/>
      <c r="AB514" s="149" t="s">
        <v>6616</v>
      </c>
      <c r="AC514" s="149" t="s">
        <v>4432</v>
      </c>
      <c r="AD514" s="149" t="s">
        <v>6617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0"/>
        <v/>
      </c>
      <c r="BD514" s="103" t="str">
        <f t="shared" si="61"/>
        <v>AA</v>
      </c>
      <c r="BE514" s="103" t="str">
        <f t="shared" si="62"/>
        <v>NÃO</v>
      </c>
      <c r="BF514" s="112"/>
      <c r="BG514" s="147"/>
      <c r="BH514" s="147"/>
      <c r="BI514" s="112"/>
      <c r="BJ514" s="112"/>
      <c r="BK514" s="112"/>
      <c r="BL514" s="112"/>
      <c r="BM514" s="236"/>
    </row>
    <row r="515" spans="1:107" s="232" customFormat="1" ht="29.25" customHeight="1">
      <c r="A515" s="103">
        <v>506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03" t="s">
        <v>4343</v>
      </c>
      <c r="J515" s="149" t="s">
        <v>6619</v>
      </c>
      <c r="K515" s="149" t="s">
        <v>6620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6619</v>
      </c>
      <c r="AC515" s="149" t="s">
        <v>6620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0"/>
        <v/>
      </c>
      <c r="BD515" s="103" t="str">
        <f t="shared" si="61"/>
        <v>AA</v>
      </c>
      <c r="BE515" s="103" t="str">
        <f t="shared" si="62"/>
        <v>NÃO</v>
      </c>
      <c r="BF515" s="112"/>
      <c r="BG515" s="147"/>
      <c r="BH515" s="147"/>
      <c r="BI515" s="112"/>
      <c r="BJ515" s="112"/>
      <c r="BK515" s="112"/>
      <c r="BL515" s="112"/>
      <c r="BM515" s="236"/>
      <c r="BN515" s="99"/>
      <c r="BO515" s="99"/>
      <c r="BP515" s="99"/>
      <c r="BQ515" s="99"/>
      <c r="BR515" s="99"/>
      <c r="BS515" s="99"/>
      <c r="BT515" s="99"/>
      <c r="BU515" s="99"/>
      <c r="BV515" s="99"/>
      <c r="BW515" s="99"/>
      <c r="BX515" s="99"/>
      <c r="BY515" s="99"/>
      <c r="BZ515" s="99"/>
      <c r="CA515" s="99"/>
      <c r="CB515" s="99"/>
      <c r="CC515" s="99"/>
      <c r="CD515" s="99"/>
      <c r="CE515" s="99"/>
      <c r="CF515" s="99"/>
      <c r="CG515" s="99"/>
      <c r="CH515" s="99"/>
      <c r="CI515" s="99"/>
      <c r="CJ515" s="99"/>
      <c r="CK515" s="99"/>
      <c r="CL515" s="99"/>
      <c r="CM515" s="99"/>
      <c r="CN515" s="99"/>
      <c r="CO515" s="99"/>
      <c r="CP515" s="99"/>
      <c r="CQ515" s="99"/>
      <c r="CR515" s="99"/>
      <c r="CS515" s="99"/>
      <c r="CT515" s="99"/>
      <c r="CU515" s="99"/>
      <c r="CV515" s="99"/>
      <c r="CW515" s="99"/>
      <c r="CX515" s="99"/>
      <c r="CY515" s="99"/>
      <c r="CZ515" s="99"/>
      <c r="DA515" s="99"/>
      <c r="DB515" s="99"/>
      <c r="DC515" s="99"/>
    </row>
    <row r="516" spans="1:107" s="232" customFormat="1" ht="29.25" customHeight="1">
      <c r="A516" s="103">
        <v>507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5">
        <v>46086</v>
      </c>
      <c r="P516" s="105">
        <v>46084</v>
      </c>
      <c r="Q516" s="105" t="s">
        <v>4436</v>
      </c>
      <c r="R516" s="105">
        <v>46083</v>
      </c>
      <c r="S516" s="108">
        <v>46084</v>
      </c>
      <c r="T516" s="108">
        <v>46087</v>
      </c>
      <c r="U516" s="108">
        <v>46090</v>
      </c>
      <c r="V516" s="105" t="s">
        <v>4437</v>
      </c>
      <c r="W516" s="105" t="s">
        <v>4437</v>
      </c>
      <c r="X516" s="105">
        <v>46101</v>
      </c>
      <c r="Y516" s="105">
        <v>46104</v>
      </c>
      <c r="Z516" s="105"/>
      <c r="AA516" s="105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0"/>
        <v/>
      </c>
      <c r="BD516" s="103" t="str">
        <f t="shared" si="61"/>
        <v>AA</v>
      </c>
      <c r="BE516" s="103" t="str">
        <f t="shared" si="62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508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46101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99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0"/>
        <v/>
      </c>
      <c r="BD517" s="103" t="str">
        <f t="shared" si="61"/>
        <v>AA</v>
      </c>
      <c r="BE517" s="103" t="str">
        <f t="shared" si="62"/>
        <v>NÃO</v>
      </c>
      <c r="BF517" s="112"/>
      <c r="BG517" s="147"/>
      <c r="BH517" s="147"/>
      <c r="BI517" s="112"/>
      <c r="BJ517" s="112"/>
      <c r="BK517" s="112"/>
      <c r="BL517" s="112"/>
      <c r="BM517" s="236"/>
    </row>
    <row r="518" spans="1:107" s="232" customFormat="1" ht="29.25" customHeight="1">
      <c r="A518" s="165">
        <v>509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4616</v>
      </c>
      <c r="M518" s="103" t="s">
        <v>4333</v>
      </c>
      <c r="N518" s="103" t="s">
        <v>4345</v>
      </c>
      <c r="O518" s="105">
        <v>46080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4616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0"/>
        <v/>
      </c>
      <c r="BD518" s="103" t="str">
        <f t="shared" si="61"/>
        <v>AA</v>
      </c>
      <c r="BE518" s="103" t="str">
        <f t="shared" si="62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510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6633</v>
      </c>
      <c r="G519" s="103" t="s">
        <v>4330</v>
      </c>
      <c r="H519" s="103" t="s">
        <v>4331</v>
      </c>
      <c r="I519" s="103" t="s">
        <v>4343</v>
      </c>
      <c r="J519" s="149" t="s">
        <v>6634</v>
      </c>
      <c r="K519" s="149" t="s">
        <v>6635</v>
      </c>
      <c r="L519" s="149" t="s">
        <v>6636</v>
      </c>
      <c r="M519" s="103" t="s">
        <v>4333</v>
      </c>
      <c r="N519" s="103" t="s">
        <v>4345</v>
      </c>
      <c r="O519" s="105">
        <v>46086</v>
      </c>
      <c r="P519" s="108">
        <v>46090</v>
      </c>
      <c r="Q519" s="108" t="s">
        <v>4436</v>
      </c>
      <c r="R519" s="105">
        <v>46090</v>
      </c>
      <c r="S519" s="105">
        <v>46099</v>
      </c>
      <c r="T519" s="105">
        <v>46101</v>
      </c>
      <c r="U519" s="105">
        <v>46118</v>
      </c>
      <c r="V519" s="105" t="s">
        <v>4437</v>
      </c>
      <c r="W519" s="105" t="s">
        <v>4437</v>
      </c>
      <c r="X519" s="105">
        <v>46118</v>
      </c>
      <c r="Y519" s="105">
        <v>46118</v>
      </c>
      <c r="Z519" s="105"/>
      <c r="AA519" s="105"/>
      <c r="AB519" s="149" t="s">
        <v>6634</v>
      </c>
      <c r="AC519" s="149" t="s">
        <v>6635</v>
      </c>
      <c r="AD519" s="149" t="s">
        <v>6636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0"/>
        <v/>
      </c>
      <c r="BD519" s="103" t="str">
        <f t="shared" si="61"/>
        <v>AA</v>
      </c>
      <c r="BE519" s="103" t="str">
        <f t="shared" si="6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511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8">
        <v>46134</v>
      </c>
      <c r="P520" s="105">
        <v>46147</v>
      </c>
      <c r="Q520" s="105" t="s">
        <v>4436</v>
      </c>
      <c r="R520" s="108">
        <v>46136</v>
      </c>
      <c r="S520" s="105">
        <v>46147</v>
      </c>
      <c r="T520" s="108">
        <v>46156</v>
      </c>
      <c r="U520" s="108">
        <v>46168</v>
      </c>
      <c r="V520" s="108" t="s">
        <v>4437</v>
      </c>
      <c r="W520" s="108" t="s">
        <v>4437</v>
      </c>
      <c r="X520" s="155">
        <v>46196</v>
      </c>
      <c r="Y520" s="108">
        <v>46197</v>
      </c>
      <c r="Z520" s="108"/>
      <c r="AA520" s="112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0"/>
        <v/>
      </c>
      <c r="BD520" s="103" t="str">
        <f t="shared" si="61"/>
        <v>AA</v>
      </c>
      <c r="BE520" s="103" t="str">
        <f t="shared" si="6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03">
        <v>512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46126</v>
      </c>
      <c r="Q521" s="105" t="s">
        <v>4436</v>
      </c>
      <c r="R521" s="108">
        <v>46126</v>
      </c>
      <c r="S521" s="108">
        <v>46126</v>
      </c>
      <c r="T521" s="108">
        <v>46136</v>
      </c>
      <c r="U521" s="108">
        <v>46140</v>
      </c>
      <c r="V521" s="108" t="s">
        <v>4437</v>
      </c>
      <c r="W521" s="108" t="s">
        <v>4437</v>
      </c>
      <c r="X521" s="105">
        <v>46153</v>
      </c>
      <c r="Y521" s="108">
        <v>46154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0"/>
        <v/>
      </c>
      <c r="BD521" s="103" t="str">
        <f t="shared" si="61"/>
        <v>AA</v>
      </c>
      <c r="BE521" s="103" t="str">
        <f t="shared" si="62"/>
        <v>NÃO</v>
      </c>
      <c r="BF521" s="112"/>
      <c r="BG521" s="147"/>
      <c r="BH521" s="147"/>
      <c r="BI521" s="112"/>
      <c r="BJ521" s="112"/>
      <c r="BK521" s="112"/>
      <c r="BL521" s="112"/>
      <c r="BM521" s="236"/>
      <c r="BN521" s="99"/>
      <c r="BO521" s="99"/>
      <c r="BP521" s="99"/>
      <c r="BQ521" s="99"/>
      <c r="BR521" s="99"/>
      <c r="BS521" s="99"/>
      <c r="BT521" s="99"/>
      <c r="BU521" s="99"/>
      <c r="BV521" s="99"/>
      <c r="BW521" s="99"/>
      <c r="BX521" s="99"/>
      <c r="BY521" s="99"/>
      <c r="BZ521" s="99"/>
      <c r="CA521" s="99"/>
      <c r="CB521" s="99"/>
      <c r="CC521" s="99"/>
      <c r="CD521" s="99"/>
      <c r="CE521" s="99"/>
      <c r="CF521" s="99"/>
      <c r="CG521" s="99"/>
      <c r="CH521" s="99"/>
      <c r="CI521" s="99"/>
      <c r="CJ521" s="99"/>
      <c r="CK521" s="99"/>
      <c r="CL521" s="99"/>
      <c r="CM521" s="99"/>
      <c r="CN521" s="99"/>
      <c r="CO521" s="99"/>
      <c r="CP521" s="99"/>
      <c r="CQ521" s="99"/>
      <c r="CR521" s="99"/>
      <c r="CS521" s="99"/>
      <c r="CT521" s="99"/>
      <c r="CU521" s="99"/>
      <c r="CV521" s="99"/>
      <c r="CW521" s="99"/>
      <c r="CX521" s="99"/>
      <c r="CY521" s="99"/>
      <c r="CZ521" s="99"/>
      <c r="DA521" s="99"/>
      <c r="DB521" s="99"/>
      <c r="DC521" s="99"/>
    </row>
    <row r="522" spans="1:107" s="232" customFormat="1" ht="29.25" customHeight="1">
      <c r="A522" s="103">
        <v>513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4334</v>
      </c>
      <c r="O522" s="108">
        <v>46188</v>
      </c>
      <c r="P522" s="105" t="s">
        <v>4356</v>
      </c>
      <c r="Q522" s="105" t="s">
        <v>4356</v>
      </c>
      <c r="R522" s="105" t="s">
        <v>4356</v>
      </c>
      <c r="S522" s="105" t="s">
        <v>4356</v>
      </c>
      <c r="T522" s="105" t="s">
        <v>4356</v>
      </c>
      <c r="U522" s="105" t="s">
        <v>4356</v>
      </c>
      <c r="V522" s="105" t="s">
        <v>4356</v>
      </c>
      <c r="W522" s="105" t="s">
        <v>4356</v>
      </c>
      <c r="X522" s="105" t="s">
        <v>4356</v>
      </c>
      <c r="Y522" s="105" t="s">
        <v>4356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>
        <v>48241.26</v>
      </c>
      <c r="AH522" s="194">
        <v>60000</v>
      </c>
      <c r="AI522" s="103" t="s">
        <v>4447</v>
      </c>
      <c r="AJ522" s="104" t="s">
        <v>4438</v>
      </c>
      <c r="AK522" s="103">
        <v>158037812</v>
      </c>
      <c r="AL522" s="103" t="s">
        <v>4338</v>
      </c>
      <c r="AM522" s="103" t="s">
        <v>4338</v>
      </c>
      <c r="AN522" s="103" t="s">
        <v>4339</v>
      </c>
      <c r="AO522" s="112"/>
      <c r="AP522" s="171" t="s">
        <v>6649</v>
      </c>
      <c r="AQ522" s="103" t="s">
        <v>4338</v>
      </c>
      <c r="AR522" s="165" t="s">
        <v>4338</v>
      </c>
      <c r="AS522" s="103" t="s">
        <v>4822</v>
      </c>
      <c r="AT522" s="107" t="s">
        <v>4453</v>
      </c>
      <c r="AU522" s="109"/>
      <c r="AV522" s="109"/>
      <c r="AW522" s="109"/>
      <c r="AX522" s="109"/>
      <c r="AY522" s="157"/>
      <c r="AZ522" s="157"/>
      <c r="BA522" s="107" t="s">
        <v>4330</v>
      </c>
      <c r="BB522" s="112"/>
      <c r="BC522" s="220"/>
      <c r="BD522" s="103"/>
      <c r="BE522" s="103"/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514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6650</v>
      </c>
      <c r="G523" s="103" t="s">
        <v>4330</v>
      </c>
      <c r="H523" s="103" t="s">
        <v>4331</v>
      </c>
      <c r="I523" s="103" t="s">
        <v>4343</v>
      </c>
      <c r="J523" s="149" t="s">
        <v>6651</v>
      </c>
      <c r="K523" s="149" t="s">
        <v>6652</v>
      </c>
      <c r="L523" s="149" t="s">
        <v>6653</v>
      </c>
      <c r="M523" s="103" t="s">
        <v>4333</v>
      </c>
      <c r="N523" s="103" t="s">
        <v>4345</v>
      </c>
      <c r="O523" s="105">
        <v>46086</v>
      </c>
      <c r="P523" s="108">
        <v>46090</v>
      </c>
      <c r="Q523" s="108" t="s">
        <v>4436</v>
      </c>
      <c r="R523" s="105">
        <v>46090</v>
      </c>
      <c r="S523" s="105">
        <v>46099</v>
      </c>
      <c r="T523" s="105">
        <v>46101</v>
      </c>
      <c r="U523" s="105">
        <v>46118</v>
      </c>
      <c r="V523" s="105" t="s">
        <v>4437</v>
      </c>
      <c r="W523" s="105" t="s">
        <v>4437</v>
      </c>
      <c r="X523" s="105">
        <v>46118</v>
      </c>
      <c r="Y523" s="105">
        <v>46118</v>
      </c>
      <c r="Z523" s="105"/>
      <c r="AA523" s="105"/>
      <c r="AB523" s="149" t="s">
        <v>6651</v>
      </c>
      <c r="AC523" s="149" t="s">
        <v>6652</v>
      </c>
      <c r="AD523" s="149" t="s">
        <v>6653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95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ref="BC523:BC529" si="63">IF(AY523-KD523=0,"",AY523-O523)</f>
        <v/>
      </c>
      <c r="BD523" s="103" t="str">
        <f t="shared" ref="BD523:BD529" si="64">IF(AND(AI523&lt;&gt;"SIM",AI523="UH"),"AA","INDENIZAÇÃO")</f>
        <v>AA</v>
      </c>
      <c r="BE523" s="103" t="str">
        <f t="shared" ref="BE523:BE529" si="65"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65">
        <v>515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46080</v>
      </c>
      <c r="P524" s="105">
        <v>46084</v>
      </c>
      <c r="Q524" s="105" t="s">
        <v>4436</v>
      </c>
      <c r="R524" s="105">
        <v>46083</v>
      </c>
      <c r="S524" s="108">
        <v>46084</v>
      </c>
      <c r="T524" s="108">
        <v>46087</v>
      </c>
      <c r="U524" s="108">
        <v>46090</v>
      </c>
      <c r="V524" s="105" t="s">
        <v>4437</v>
      </c>
      <c r="W524" s="105" t="s">
        <v>4437</v>
      </c>
      <c r="X524" s="105">
        <v>46101</v>
      </c>
      <c r="Y524" s="105">
        <v>46101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42"/>
      <c r="AP524" s="171"/>
      <c r="AQ524" s="142"/>
      <c r="AR524" s="142"/>
      <c r="AS524" s="142"/>
      <c r="AT524" s="142"/>
      <c r="AU524" s="142"/>
      <c r="AV524" s="142"/>
      <c r="AW524" s="142"/>
      <c r="AX524" s="142"/>
      <c r="AY524" s="166"/>
      <c r="AZ524" s="207"/>
      <c r="BA524" s="14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</row>
    <row r="525" spans="1:107" s="232" customFormat="1" ht="29.25" customHeight="1">
      <c r="A525" s="165">
        <v>516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12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517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03">
        <v>518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5">
        <v>46084</v>
      </c>
      <c r="Q527" s="105" t="s">
        <v>4436</v>
      </c>
      <c r="R527" s="105">
        <v>46083</v>
      </c>
      <c r="S527" s="108">
        <v>46084</v>
      </c>
      <c r="T527" s="108">
        <v>46087</v>
      </c>
      <c r="U527" s="108">
        <v>46090</v>
      </c>
      <c r="V527" s="105" t="s">
        <v>4437</v>
      </c>
      <c r="W527" s="105" t="s">
        <v>4437</v>
      </c>
      <c r="X527" s="105">
        <v>46101</v>
      </c>
      <c r="Y527" s="105">
        <v>46101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519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520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>
        <v>30.475688000000002</v>
      </c>
      <c r="L529" s="149" t="s">
        <v>6676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46104</v>
      </c>
      <c r="Z529" s="105"/>
      <c r="AA529" s="105"/>
      <c r="AB529" s="149" t="s">
        <v>6675</v>
      </c>
      <c r="AC529" s="149">
        <v>30.475688000000002</v>
      </c>
      <c r="AD529" s="149" t="s">
        <v>6676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65">
        <v>521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6677</v>
      </c>
      <c r="G530" s="103" t="s">
        <v>4330</v>
      </c>
      <c r="H530" s="103" t="s">
        <v>4331</v>
      </c>
      <c r="I530" s="103" t="s">
        <v>4343</v>
      </c>
      <c r="J530" s="149" t="s">
        <v>6678</v>
      </c>
      <c r="K530" s="149"/>
      <c r="L530" s="149" t="s">
        <v>6679</v>
      </c>
      <c r="M530" s="103" t="s">
        <v>4333</v>
      </c>
      <c r="N530" s="103" t="s">
        <v>4345</v>
      </c>
      <c r="O530" s="105"/>
      <c r="P530" s="105">
        <v>46176</v>
      </c>
      <c r="Q530" s="105" t="s">
        <v>4436</v>
      </c>
      <c r="R530" s="105">
        <v>46174</v>
      </c>
      <c r="S530" s="105">
        <v>46176</v>
      </c>
      <c r="T530" s="105">
        <v>46202</v>
      </c>
      <c r="U530" s="105">
        <v>46204</v>
      </c>
      <c r="V530" s="105" t="s">
        <v>4437</v>
      </c>
      <c r="W530" s="105" t="s">
        <v>4437</v>
      </c>
      <c r="X530" s="105">
        <v>46223</v>
      </c>
      <c r="Y530" s="105"/>
      <c r="Z530" s="105"/>
      <c r="AA530" s="105"/>
      <c r="AB530" s="149"/>
      <c r="AC530" s="149"/>
      <c r="AD530" s="149"/>
      <c r="AE530" s="142"/>
      <c r="AF530" s="103"/>
      <c r="AG530" s="194"/>
      <c r="AH530" s="194"/>
      <c r="AI530" s="103"/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/>
      <c r="BD530" s="103"/>
      <c r="BE530" s="103"/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522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6680</v>
      </c>
      <c r="G531" s="103" t="s">
        <v>4330</v>
      </c>
      <c r="H531" s="103" t="s">
        <v>4331</v>
      </c>
      <c r="I531" s="103" t="s">
        <v>4343</v>
      </c>
      <c r="J531" s="149" t="s">
        <v>6681</v>
      </c>
      <c r="K531" s="149" t="s">
        <v>6682</v>
      </c>
      <c r="L531" s="149" t="s">
        <v>6683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46101</v>
      </c>
      <c r="Z531" s="105"/>
      <c r="AA531" s="105"/>
      <c r="AB531" s="149" t="s">
        <v>6681</v>
      </c>
      <c r="AC531" s="149" t="s">
        <v>6682</v>
      </c>
      <c r="AD531" s="149" t="s">
        <v>6683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ref="BC531:BC573" si="66">IF(AY531-KD531=0,"",AY531-O531)</f>
        <v/>
      </c>
      <c r="BD531" s="103" t="str">
        <f t="shared" ref="BD531:BD573" si="67">IF(AND(AI531&lt;&gt;"SIM",AI531="UH"),"AA","INDENIZAÇÃO")</f>
        <v>AA</v>
      </c>
      <c r="BE531" s="103" t="str">
        <f t="shared" ref="BE531:BE573" si="68">IF(AND(AY531&lt;&gt;"AGUARDANDO",AY531&lt;&gt;"",N531="AUXÍLIO ALUGUEL ATÉ INDENIZAÇÃO"),"SIM","NÃO")</f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523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1">
        <v>46090</v>
      </c>
      <c r="Q532" s="108" t="s">
        <v>4436</v>
      </c>
      <c r="R532" s="105">
        <v>46090</v>
      </c>
      <c r="S532" s="105">
        <v>46099</v>
      </c>
      <c r="T532" s="105">
        <v>46101</v>
      </c>
      <c r="U532" s="105">
        <v>46118</v>
      </c>
      <c r="V532" s="105" t="s">
        <v>4437</v>
      </c>
      <c r="W532" s="105" t="s">
        <v>4437</v>
      </c>
      <c r="X532" s="105">
        <v>46118</v>
      </c>
      <c r="Y532" s="105">
        <v>46149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99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si="66"/>
        <v/>
      </c>
      <c r="BD532" s="103" t="str">
        <f t="shared" si="67"/>
        <v>AA</v>
      </c>
      <c r="BE532" s="103" t="str">
        <f t="shared" si="68"/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03">
        <v>524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525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8">
        <v>46134</v>
      </c>
      <c r="P534" s="105">
        <v>46126</v>
      </c>
      <c r="Q534" s="105" t="s">
        <v>4436</v>
      </c>
      <c r="R534" s="108">
        <v>46126</v>
      </c>
      <c r="S534" s="108">
        <v>46126</v>
      </c>
      <c r="T534" s="108">
        <v>46136</v>
      </c>
      <c r="U534" s="108">
        <v>46140</v>
      </c>
      <c r="V534" s="108" t="s">
        <v>4437</v>
      </c>
      <c r="W534" s="108" t="s">
        <v>4437</v>
      </c>
      <c r="X534" s="105">
        <v>46153</v>
      </c>
      <c r="Y534" s="108">
        <v>46154</v>
      </c>
      <c r="Z534" s="108"/>
      <c r="AA534" s="112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526</v>
      </c>
      <c r="B535" s="103" t="s">
        <v>4431</v>
      </c>
      <c r="C535" s="103" t="s">
        <v>4448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42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4459</v>
      </c>
      <c r="O535" s="105">
        <v>45980</v>
      </c>
      <c r="P535" s="105" t="s">
        <v>4356</v>
      </c>
      <c r="Q535" s="105" t="s">
        <v>4356</v>
      </c>
      <c r="R535" s="105" t="s">
        <v>4356</v>
      </c>
      <c r="S535" s="105" t="s">
        <v>4356</v>
      </c>
      <c r="T535" s="105" t="s">
        <v>4356</v>
      </c>
      <c r="U535" s="105" t="s">
        <v>4356</v>
      </c>
      <c r="V535" s="105" t="s">
        <v>4356</v>
      </c>
      <c r="W535" s="105" t="s">
        <v>4356</v>
      </c>
      <c r="X535" s="105" t="s">
        <v>4356</v>
      </c>
      <c r="Y535" s="105" t="s">
        <v>4356</v>
      </c>
      <c r="Z535" s="105"/>
      <c r="AA535" s="105"/>
      <c r="AB535" s="149" t="s">
        <v>6697</v>
      </c>
      <c r="AC535" s="149" t="s">
        <v>6698</v>
      </c>
      <c r="AD535" s="149" t="s">
        <v>6699</v>
      </c>
      <c r="AE535" s="103" t="s">
        <v>4343</v>
      </c>
      <c r="AF535" s="112" t="s">
        <v>4333</v>
      </c>
      <c r="AG535" s="194">
        <v>61026.98</v>
      </c>
      <c r="AH535" s="194">
        <v>61026.98</v>
      </c>
      <c r="AI535" s="103" t="s">
        <v>4336</v>
      </c>
      <c r="AJ535" s="104" t="s">
        <v>4438</v>
      </c>
      <c r="AK535" s="103">
        <v>146668756</v>
      </c>
      <c r="AL535" s="103" t="s">
        <v>4338</v>
      </c>
      <c r="AM535" s="103" t="s">
        <v>4338</v>
      </c>
      <c r="AN535" s="103" t="s">
        <v>4339</v>
      </c>
      <c r="AO535" s="112"/>
      <c r="AP535" s="171" t="s">
        <v>6700</v>
      </c>
      <c r="AQ535" s="103" t="s">
        <v>4338</v>
      </c>
      <c r="AR535" s="103" t="s">
        <v>4338</v>
      </c>
      <c r="AS535" s="103" t="s">
        <v>4338</v>
      </c>
      <c r="AT535" s="103" t="s">
        <v>4338</v>
      </c>
      <c r="AU535" s="108">
        <v>46024</v>
      </c>
      <c r="AV535" s="112" t="s">
        <v>4338</v>
      </c>
      <c r="AW535" s="103" t="s">
        <v>4338</v>
      </c>
      <c r="AX535" s="166">
        <v>46038</v>
      </c>
      <c r="AY535" s="157">
        <v>46038</v>
      </c>
      <c r="AZ535" s="106" t="s">
        <v>4453</v>
      </c>
      <c r="BA535" s="107" t="s">
        <v>4454</v>
      </c>
      <c r="BB535" s="136" t="s">
        <v>4338</v>
      </c>
      <c r="BC535" s="220">
        <f t="shared" si="66"/>
        <v>58</v>
      </c>
      <c r="BD535" s="103" t="str">
        <f t="shared" si="67"/>
        <v>INDENIZAÇÃO</v>
      </c>
      <c r="BE535" s="103" t="str">
        <f t="shared" si="68"/>
        <v>NÃO</v>
      </c>
      <c r="BF535" s="140" t="s">
        <v>4357</v>
      </c>
      <c r="BG535" s="140" t="s">
        <v>4357</v>
      </c>
      <c r="BH535" s="140" t="s">
        <v>4357</v>
      </c>
      <c r="BI535" s="154" t="s">
        <v>5393</v>
      </c>
      <c r="BJ535" s="154"/>
      <c r="BK535" s="154"/>
      <c r="BL535" s="154"/>
      <c r="BM535" s="237"/>
      <c r="BN535" s="99"/>
      <c r="BO535" s="99"/>
      <c r="BP535" s="99"/>
      <c r="BQ535" s="99"/>
      <c r="BR535" s="99"/>
      <c r="BS535" s="99"/>
      <c r="BT535" s="99"/>
      <c r="BU535" s="99"/>
      <c r="BV535" s="99"/>
      <c r="BW535" s="99"/>
      <c r="BX535" s="99"/>
      <c r="BY535" s="99"/>
      <c r="BZ535" s="99"/>
      <c r="CA535" s="99"/>
      <c r="CB535" s="99"/>
      <c r="CC535" s="99"/>
      <c r="CD535" s="99"/>
      <c r="CE535" s="99"/>
      <c r="CF535" s="99"/>
      <c r="CG535" s="99"/>
      <c r="CH535" s="99"/>
      <c r="CI535" s="99"/>
      <c r="CJ535" s="99"/>
      <c r="CK535" s="99"/>
      <c r="CL535" s="99"/>
      <c r="CM535" s="99"/>
      <c r="CN535" s="99"/>
      <c r="CO535" s="99"/>
      <c r="CP535" s="99"/>
      <c r="CQ535" s="99"/>
      <c r="CR535" s="99"/>
      <c r="CS535" s="99"/>
      <c r="CT535" s="99"/>
      <c r="CU535" s="99"/>
      <c r="CV535" s="99"/>
      <c r="CW535" s="99"/>
      <c r="CX535" s="99"/>
      <c r="CY535" s="99"/>
      <c r="CZ535" s="99"/>
      <c r="DA535" s="99"/>
      <c r="DB535" s="99"/>
      <c r="DC535" s="99"/>
    </row>
    <row r="536" spans="1:107" s="232" customFormat="1" ht="29.25" customHeight="1">
      <c r="A536" s="165">
        <v>527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6696</v>
      </c>
      <c r="G536" s="103" t="s">
        <v>4330</v>
      </c>
      <c r="H536" s="103" t="s">
        <v>4331</v>
      </c>
      <c r="I536" s="103" t="s">
        <v>4343</v>
      </c>
      <c r="J536" s="149" t="s">
        <v>6701</v>
      </c>
      <c r="K536" s="149" t="s">
        <v>6702</v>
      </c>
      <c r="L536" s="149" t="s">
        <v>6703</v>
      </c>
      <c r="M536" s="103" t="s">
        <v>4333</v>
      </c>
      <c r="N536" s="103" t="s">
        <v>4345</v>
      </c>
      <c r="O536" s="105">
        <v>46086</v>
      </c>
      <c r="P536" s="108">
        <v>46090</v>
      </c>
      <c r="Q536" s="108" t="s">
        <v>4436</v>
      </c>
      <c r="R536" s="105">
        <v>46090</v>
      </c>
      <c r="S536" s="105">
        <v>46099</v>
      </c>
      <c r="T536" s="105">
        <v>46101</v>
      </c>
      <c r="U536" s="105">
        <v>46118</v>
      </c>
      <c r="V536" s="105" t="s">
        <v>4437</v>
      </c>
      <c r="W536" s="105" t="s">
        <v>4437</v>
      </c>
      <c r="X536" s="105">
        <v>46118</v>
      </c>
      <c r="Y536" s="105">
        <v>46118</v>
      </c>
      <c r="Z536" s="105"/>
      <c r="AA536" s="105"/>
      <c r="AB536" s="149" t="s">
        <v>6701</v>
      </c>
      <c r="AC536" s="149" t="s">
        <v>6702</v>
      </c>
      <c r="AD536" s="149" t="s">
        <v>6703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6"/>
        <v/>
      </c>
      <c r="BD536" s="103" t="str">
        <f t="shared" si="67"/>
        <v>AA</v>
      </c>
      <c r="BE536" s="103" t="str">
        <f t="shared" si="68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customHeight="1">
      <c r="A537" s="165">
        <v>528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6704</v>
      </c>
      <c r="G537" s="103" t="s">
        <v>4330</v>
      </c>
      <c r="H537" s="103" t="s">
        <v>4331</v>
      </c>
      <c r="I537" s="142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45996</v>
      </c>
      <c r="P537" s="105">
        <v>46002</v>
      </c>
      <c r="Q537" s="105" t="s">
        <v>4436</v>
      </c>
      <c r="R537" s="105">
        <v>45999</v>
      </c>
      <c r="S537" s="105">
        <v>46006</v>
      </c>
      <c r="T537" s="105">
        <v>46006</v>
      </c>
      <c r="U537" s="105">
        <v>46009</v>
      </c>
      <c r="V537" s="105" t="s">
        <v>4437</v>
      </c>
      <c r="W537" s="105" t="s">
        <v>4437</v>
      </c>
      <c r="X537" s="105">
        <v>46014</v>
      </c>
      <c r="Y537" s="105">
        <v>46017</v>
      </c>
      <c r="Z537" s="108"/>
      <c r="AA537" s="112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5"/>
      <c r="BA537" s="103"/>
      <c r="BB537" s="136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40"/>
      <c r="BG537" s="140"/>
      <c r="BH537" s="140"/>
      <c r="BI537" s="140"/>
      <c r="BJ537" s="140"/>
      <c r="BK537" s="140"/>
      <c r="BL537" s="140"/>
      <c r="BM537" s="238"/>
    </row>
    <row r="538" spans="1:107" s="232" customFormat="1" ht="29.25" customHeight="1">
      <c r="A538" s="165">
        <v>529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6704</v>
      </c>
      <c r="G538" s="103" t="s">
        <v>4330</v>
      </c>
      <c r="H538" s="103" t="s">
        <v>4331</v>
      </c>
      <c r="I538" s="103" t="s">
        <v>4343</v>
      </c>
      <c r="J538" s="149" t="s">
        <v>4640</v>
      </c>
      <c r="K538" s="149" t="s">
        <v>4432</v>
      </c>
      <c r="L538" s="149" t="s">
        <v>4641</v>
      </c>
      <c r="M538" s="103" t="s">
        <v>4333</v>
      </c>
      <c r="N538" s="103" t="s">
        <v>4345</v>
      </c>
      <c r="O538" s="105">
        <v>46086</v>
      </c>
      <c r="P538" s="105">
        <v>46084</v>
      </c>
      <c r="Q538" s="105" t="s">
        <v>4436</v>
      </c>
      <c r="R538" s="105">
        <v>46083</v>
      </c>
      <c r="S538" s="108">
        <v>46084</v>
      </c>
      <c r="T538" s="108">
        <v>46087</v>
      </c>
      <c r="U538" s="108">
        <v>46090</v>
      </c>
      <c r="V538" s="105" t="s">
        <v>4437</v>
      </c>
      <c r="W538" s="105" t="s">
        <v>4437</v>
      </c>
      <c r="X538" s="105">
        <v>46101</v>
      </c>
      <c r="Y538" s="105">
        <v>46101</v>
      </c>
      <c r="Z538" s="105"/>
      <c r="AA538" s="105"/>
      <c r="AB538" s="149" t="s">
        <v>4640</v>
      </c>
      <c r="AC538" s="149" t="s">
        <v>4432</v>
      </c>
      <c r="AD538" s="149" t="s">
        <v>4641</v>
      </c>
      <c r="AE538" s="153" t="s">
        <v>4343</v>
      </c>
      <c r="AF538" s="112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customHeight="1">
      <c r="A539" s="103">
        <v>530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4361</v>
      </c>
      <c r="J539" s="149" t="s">
        <v>6709</v>
      </c>
      <c r="K539" s="149" t="s">
        <v>6710</v>
      </c>
      <c r="L539" s="149" t="s">
        <v>6711</v>
      </c>
      <c r="M539" s="103" t="s">
        <v>4333</v>
      </c>
      <c r="N539" s="103" t="s">
        <v>4345</v>
      </c>
      <c r="O539" s="105">
        <v>46086</v>
      </c>
      <c r="P539" s="108">
        <v>46090</v>
      </c>
      <c r="Q539" s="108" t="s">
        <v>4436</v>
      </c>
      <c r="R539" s="105">
        <v>46090</v>
      </c>
      <c r="S539" s="105">
        <v>46099</v>
      </c>
      <c r="T539" s="105">
        <v>46101</v>
      </c>
      <c r="U539" s="105">
        <v>46118</v>
      </c>
      <c r="V539" s="105" t="s">
        <v>4437</v>
      </c>
      <c r="W539" s="105" t="s">
        <v>4437</v>
      </c>
      <c r="X539" s="105">
        <v>46118</v>
      </c>
      <c r="Y539" s="105">
        <v>46118</v>
      </c>
      <c r="Z539" s="105"/>
      <c r="AA539" s="105"/>
      <c r="AB539" s="149" t="s">
        <v>6709</v>
      </c>
      <c r="AC539" s="149" t="s">
        <v>6710</v>
      </c>
      <c r="AD539" s="149" t="s">
        <v>6711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531</v>
      </c>
      <c r="B540" s="103" t="s">
        <v>4431</v>
      </c>
      <c r="C540" s="103" t="s">
        <v>4448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42" t="s">
        <v>4343</v>
      </c>
      <c r="J540" s="149" t="s">
        <v>6713</v>
      </c>
      <c r="K540" s="149" t="s">
        <v>4457</v>
      </c>
      <c r="L540" s="149" t="s">
        <v>6714</v>
      </c>
      <c r="M540" s="103" t="s">
        <v>4333</v>
      </c>
      <c r="N540" s="103" t="s">
        <v>4345</v>
      </c>
      <c r="O540" s="105">
        <v>46001</v>
      </c>
      <c r="P540" s="105">
        <v>46106</v>
      </c>
      <c r="Q540" s="105" t="s">
        <v>4436</v>
      </c>
      <c r="R540" s="105">
        <v>46106</v>
      </c>
      <c r="S540" s="105">
        <v>46107</v>
      </c>
      <c r="T540" s="105">
        <v>46111</v>
      </c>
      <c r="U540" s="105">
        <v>46087</v>
      </c>
      <c r="V540" s="105" t="s">
        <v>4437</v>
      </c>
      <c r="W540" s="105" t="s">
        <v>4437</v>
      </c>
      <c r="X540" s="105">
        <v>46132</v>
      </c>
      <c r="Y540" s="108">
        <v>46135</v>
      </c>
      <c r="Z540" s="108"/>
      <c r="AA540" s="112"/>
      <c r="AB540" s="149" t="s">
        <v>6713</v>
      </c>
      <c r="AC540" s="149" t="s">
        <v>4457</v>
      </c>
      <c r="AD540" s="149" t="s">
        <v>6714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532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6712</v>
      </c>
      <c r="G541" s="103" t="s">
        <v>4330</v>
      </c>
      <c r="H541" s="103" t="s">
        <v>4331</v>
      </c>
      <c r="I541" s="103" t="s">
        <v>4343</v>
      </c>
      <c r="J541" s="149" t="s">
        <v>6715</v>
      </c>
      <c r="K541" s="149" t="s">
        <v>6716</v>
      </c>
      <c r="L541" s="149" t="s">
        <v>6717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6715</v>
      </c>
      <c r="AC541" s="149" t="s">
        <v>6716</v>
      </c>
      <c r="AD541" s="149" t="s">
        <v>6717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99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  <c r="BN541" s="99"/>
      <c r="BO541" s="99"/>
      <c r="BP541" s="99"/>
      <c r="BQ541" s="99"/>
      <c r="BR541" s="99"/>
      <c r="BS541" s="99"/>
      <c r="BT541" s="99"/>
      <c r="BU541" s="99"/>
      <c r="BV541" s="99"/>
      <c r="BW541" s="99"/>
      <c r="BX541" s="99"/>
      <c r="BY541" s="99"/>
      <c r="BZ541" s="99"/>
      <c r="CA541" s="99"/>
      <c r="CB541" s="99"/>
      <c r="CC541" s="99"/>
      <c r="CD541" s="99"/>
      <c r="CE541" s="99"/>
      <c r="CF541" s="99"/>
      <c r="CG541" s="99"/>
      <c r="CH541" s="99"/>
      <c r="CI541" s="99"/>
      <c r="CJ541" s="99"/>
      <c r="CK541" s="99"/>
      <c r="CL541" s="99"/>
      <c r="CM541" s="99"/>
      <c r="CN541" s="99"/>
      <c r="CO541" s="99"/>
      <c r="CP541" s="99"/>
      <c r="CQ541" s="99"/>
      <c r="CR541" s="99"/>
      <c r="CS541" s="99"/>
      <c r="CT541" s="99"/>
      <c r="CU541" s="99"/>
      <c r="CV541" s="99"/>
      <c r="CW541" s="99"/>
      <c r="CX541" s="99"/>
      <c r="CY541" s="99"/>
      <c r="CZ541" s="99"/>
      <c r="DA541" s="99"/>
      <c r="DB541" s="99"/>
      <c r="DC541" s="99"/>
    </row>
    <row r="542" spans="1:107" s="232" customFormat="1" ht="29.25" customHeight="1">
      <c r="A542" s="165">
        <v>533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6718</v>
      </c>
      <c r="G542" s="103" t="s">
        <v>4330</v>
      </c>
      <c r="H542" s="103" t="s">
        <v>4331</v>
      </c>
      <c r="I542" s="142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4459</v>
      </c>
      <c r="O542" s="105">
        <v>46045</v>
      </c>
      <c r="P542" s="105" t="s">
        <v>4356</v>
      </c>
      <c r="Q542" s="105" t="s">
        <v>4356</v>
      </c>
      <c r="R542" s="105" t="s">
        <v>4356</v>
      </c>
      <c r="S542" s="105" t="s">
        <v>4356</v>
      </c>
      <c r="T542" s="105" t="s">
        <v>4356</v>
      </c>
      <c r="U542" s="105" t="s">
        <v>4356</v>
      </c>
      <c r="V542" s="105" t="s">
        <v>4356</v>
      </c>
      <c r="W542" s="105" t="s">
        <v>4356</v>
      </c>
      <c r="X542" s="105" t="s">
        <v>4356</v>
      </c>
      <c r="Y542" s="105" t="s">
        <v>4356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03" t="s">
        <v>4343</v>
      </c>
      <c r="AF542" s="112" t="s">
        <v>4333</v>
      </c>
      <c r="AG542" s="194">
        <v>22110.02</v>
      </c>
      <c r="AH542" s="194">
        <f>AG542+30000</f>
        <v>52110.020000000004</v>
      </c>
      <c r="AI542" s="103" t="s">
        <v>4336</v>
      </c>
      <c r="AJ542" s="104" t="s">
        <v>4438</v>
      </c>
      <c r="AK542" s="103">
        <v>148266193</v>
      </c>
      <c r="AL542" s="103" t="s">
        <v>4338</v>
      </c>
      <c r="AM542" s="103" t="s">
        <v>4338</v>
      </c>
      <c r="AN542" s="103" t="s">
        <v>4339</v>
      </c>
      <c r="AO542" s="112"/>
      <c r="AP542" s="171" t="s">
        <v>6722</v>
      </c>
      <c r="AQ542" s="103" t="s">
        <v>4338</v>
      </c>
      <c r="AR542" s="103" t="s">
        <v>4338</v>
      </c>
      <c r="AS542" s="103" t="s">
        <v>4338</v>
      </c>
      <c r="AT542" s="103" t="s">
        <v>4338</v>
      </c>
      <c r="AU542" s="105">
        <v>46118</v>
      </c>
      <c r="AV542" s="103" t="s">
        <v>4338</v>
      </c>
      <c r="AW542" s="103" t="s">
        <v>4338</v>
      </c>
      <c r="AX542" s="105">
        <v>46126</v>
      </c>
      <c r="AY542" s="106">
        <v>46126</v>
      </c>
      <c r="AZ542" s="106" t="s">
        <v>4453</v>
      </c>
      <c r="BA542" s="174" t="s">
        <v>4454</v>
      </c>
      <c r="BB542" s="136" t="s">
        <v>4338</v>
      </c>
      <c r="BC542" s="220">
        <f t="shared" si="66"/>
        <v>81</v>
      </c>
      <c r="BD542" s="103" t="str">
        <f t="shared" si="67"/>
        <v>INDENIZAÇÃO</v>
      </c>
      <c r="BE542" s="103" t="str">
        <f t="shared" si="68"/>
        <v>NÃO</v>
      </c>
      <c r="BF542" s="112" t="s">
        <v>4357</v>
      </c>
      <c r="BG542" s="112" t="s">
        <v>4357</v>
      </c>
      <c r="BH542" s="112" t="s">
        <v>4357</v>
      </c>
      <c r="BI542" s="109" t="s">
        <v>5393</v>
      </c>
      <c r="BJ542" s="109"/>
      <c r="BK542" s="109"/>
      <c r="BL542" s="109"/>
      <c r="BM542" s="239"/>
      <c r="BN542" s="231"/>
      <c r="BO542" s="231"/>
    </row>
    <row r="543" spans="1:107" s="232" customFormat="1" ht="29.25" customHeight="1">
      <c r="A543" s="165">
        <v>534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6718</v>
      </c>
      <c r="G543" s="103" t="s">
        <v>4330</v>
      </c>
      <c r="H543" s="103" t="s">
        <v>4331</v>
      </c>
      <c r="I543" s="103" t="s">
        <v>4343</v>
      </c>
      <c r="J543" s="149" t="s">
        <v>6723</v>
      </c>
      <c r="K543" s="149" t="s">
        <v>6724</v>
      </c>
      <c r="L543" s="149" t="s">
        <v>6725</v>
      </c>
      <c r="M543" s="103" t="s">
        <v>4333</v>
      </c>
      <c r="N543" s="103" t="s">
        <v>4345</v>
      </c>
      <c r="O543" s="105">
        <v>46086</v>
      </c>
      <c r="P543" s="105">
        <v>46084</v>
      </c>
      <c r="Q543" s="105" t="s">
        <v>4436</v>
      </c>
      <c r="R543" s="105">
        <v>46083</v>
      </c>
      <c r="S543" s="108">
        <v>46084</v>
      </c>
      <c r="T543" s="108">
        <v>46087</v>
      </c>
      <c r="U543" s="108">
        <v>46090</v>
      </c>
      <c r="V543" s="105" t="s">
        <v>4437</v>
      </c>
      <c r="W543" s="105" t="s">
        <v>4437</v>
      </c>
      <c r="X543" s="105">
        <v>46101</v>
      </c>
      <c r="Y543" s="105">
        <v>46101</v>
      </c>
      <c r="Z543" s="105"/>
      <c r="AA543" s="105"/>
      <c r="AB543" s="149" t="s">
        <v>6723</v>
      </c>
      <c r="AC543" s="149" t="s">
        <v>6724</v>
      </c>
      <c r="AD543" s="149" t="s">
        <v>6725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112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6"/>
        <v/>
      </c>
      <c r="BD543" s="103" t="str">
        <f t="shared" si="67"/>
        <v>AA</v>
      </c>
      <c r="BE543" s="103" t="str">
        <f t="shared" si="68"/>
        <v>NÃO</v>
      </c>
      <c r="BF543" s="112"/>
      <c r="BG543" s="147"/>
      <c r="BH543" s="147"/>
      <c r="BI543" s="112"/>
      <c r="BJ543" s="112"/>
      <c r="BK543" s="112"/>
      <c r="BL543" s="112"/>
      <c r="BM543" s="236"/>
    </row>
    <row r="544" spans="1:107" s="232" customFormat="1" ht="29.25" customHeight="1">
      <c r="A544" s="165">
        <v>535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6726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8">
        <v>46090</v>
      </c>
      <c r="Q544" s="108" t="s">
        <v>4436</v>
      </c>
      <c r="R544" s="105">
        <v>46090</v>
      </c>
      <c r="S544" s="105">
        <v>46099</v>
      </c>
      <c r="T544" s="105">
        <v>46101</v>
      </c>
      <c r="U544" s="105">
        <v>46118</v>
      </c>
      <c r="V544" s="105" t="s">
        <v>4437</v>
      </c>
      <c r="W544" s="105" t="s">
        <v>4437</v>
      </c>
      <c r="X544" s="105">
        <v>46118</v>
      </c>
      <c r="Y544" s="105">
        <v>46119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03">
        <v>536</v>
      </c>
      <c r="B545" s="103" t="s">
        <v>4431</v>
      </c>
      <c r="C545" s="103" t="s">
        <v>4448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/>
      <c r="P545" s="105">
        <v>46126</v>
      </c>
      <c r="Q545" s="105" t="s">
        <v>4436</v>
      </c>
      <c r="R545" s="108">
        <v>46126</v>
      </c>
      <c r="S545" s="108">
        <v>46126</v>
      </c>
      <c r="T545" s="108">
        <v>46136</v>
      </c>
      <c r="U545" s="108">
        <v>46140</v>
      </c>
      <c r="V545" s="108" t="s">
        <v>4437</v>
      </c>
      <c r="W545" s="108" t="s">
        <v>4437</v>
      </c>
      <c r="X545" s="105">
        <v>46153</v>
      </c>
      <c r="Y545" s="105">
        <v>46163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98"/>
      <c r="AN545" s="98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537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6730</v>
      </c>
      <c r="G546" s="103" t="s">
        <v>4330</v>
      </c>
      <c r="H546" s="103" t="s">
        <v>4331</v>
      </c>
      <c r="I546" s="103" t="s">
        <v>4343</v>
      </c>
      <c r="J546" s="149" t="s">
        <v>6734</v>
      </c>
      <c r="K546" s="149" t="s">
        <v>6735</v>
      </c>
      <c r="L546" s="149" t="s">
        <v>6736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46118</v>
      </c>
      <c r="Z546" s="105"/>
      <c r="AA546" s="105"/>
      <c r="AB546" s="149" t="s">
        <v>6734</v>
      </c>
      <c r="AC546" s="149" t="s">
        <v>6735</v>
      </c>
      <c r="AD546" s="149" t="s">
        <v>6736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538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6737</v>
      </c>
      <c r="G547" s="103" t="s">
        <v>4330</v>
      </c>
      <c r="H547" s="103" t="s">
        <v>4331</v>
      </c>
      <c r="I547" s="142" t="s">
        <v>4343</v>
      </c>
      <c r="J547" s="149" t="s">
        <v>6738</v>
      </c>
      <c r="K547" s="149" t="s">
        <v>6739</v>
      </c>
      <c r="L547" s="149" t="s">
        <v>6740</v>
      </c>
      <c r="M547" s="112" t="s">
        <v>4333</v>
      </c>
      <c r="N547" s="103" t="s">
        <v>4345</v>
      </c>
      <c r="O547" s="105"/>
      <c r="P547" s="108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46155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103"/>
      <c r="AN547" s="103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65">
        <v>539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6737</v>
      </c>
      <c r="G548" s="103" t="s">
        <v>4330</v>
      </c>
      <c r="H548" s="103" t="s">
        <v>4331</v>
      </c>
      <c r="I548" s="103" t="s">
        <v>4343</v>
      </c>
      <c r="J548" s="149" t="s">
        <v>6741</v>
      </c>
      <c r="K548" s="149" t="s">
        <v>6742</v>
      </c>
      <c r="L548" s="149" t="s">
        <v>6743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6741</v>
      </c>
      <c r="AC548" s="149" t="s">
        <v>6742</v>
      </c>
      <c r="AD548" s="149" t="s">
        <v>6743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540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6744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/>
      <c r="P549" s="105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46154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541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6744</v>
      </c>
      <c r="G550" s="103" t="s">
        <v>4330</v>
      </c>
      <c r="H550" s="103" t="s">
        <v>4331</v>
      </c>
      <c r="I550" s="103" t="s">
        <v>4343</v>
      </c>
      <c r="J550" s="149" t="s">
        <v>6748</v>
      </c>
      <c r="K550" s="149" t="s">
        <v>6749</v>
      </c>
      <c r="L550" s="149" t="s">
        <v>6750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6751</v>
      </c>
      <c r="AB550" s="149" t="s">
        <v>6748</v>
      </c>
      <c r="AC550" s="149" t="s">
        <v>6749</v>
      </c>
      <c r="AD550" s="149" t="s">
        <v>6750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6752</v>
      </c>
      <c r="AQ550" s="165" t="s">
        <v>4822</v>
      </c>
      <c r="AR550" s="103" t="s">
        <v>4822</v>
      </c>
      <c r="AS550" s="103" t="s">
        <v>4822</v>
      </c>
      <c r="AT550" s="107" t="s">
        <v>4453</v>
      </c>
      <c r="AU550" s="109"/>
      <c r="AV550" s="109"/>
      <c r="AW550" s="109"/>
      <c r="AX550" s="109"/>
      <c r="AY550" s="157"/>
      <c r="AZ550" s="157"/>
      <c r="BA550" s="107" t="s">
        <v>4330</v>
      </c>
      <c r="BB550" s="112"/>
      <c r="BC550" s="220" t="str">
        <f t="shared" si="66"/>
        <v/>
      </c>
      <c r="BD550" s="103" t="str">
        <f t="shared" si="67"/>
        <v>INDENIZAÇÃO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03">
        <v>542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6753</v>
      </c>
      <c r="G551" s="103" t="s">
        <v>4330</v>
      </c>
      <c r="H551" s="103" t="s">
        <v>4331</v>
      </c>
      <c r="I551" s="103" t="s">
        <v>4343</v>
      </c>
      <c r="J551" s="149" t="s">
        <v>6754</v>
      </c>
      <c r="K551" s="149" t="s">
        <v>6755</v>
      </c>
      <c r="L551" s="149" t="s">
        <v>6756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38"/>
      <c r="AB551" s="149" t="s">
        <v>6754</v>
      </c>
      <c r="AC551" s="149" t="s">
        <v>6755</v>
      </c>
      <c r="AD551" s="149" t="s">
        <v>6756</v>
      </c>
      <c r="AE551" s="103" t="s">
        <v>4343</v>
      </c>
      <c r="AF551" s="103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12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 t="shared" si="66"/>
        <v/>
      </c>
      <c r="BD551" s="103" t="str">
        <f t="shared" si="67"/>
        <v>AA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543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6753</v>
      </c>
      <c r="G552" s="112" t="s">
        <v>4330</v>
      </c>
      <c r="H552" s="112" t="s">
        <v>4331</v>
      </c>
      <c r="I552" s="112" t="s">
        <v>4343</v>
      </c>
      <c r="J552" s="150" t="s">
        <v>6757</v>
      </c>
      <c r="K552" s="150" t="s">
        <v>6758</v>
      </c>
      <c r="L552" s="150" t="s">
        <v>6759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6757</v>
      </c>
      <c r="AC552" s="150" t="s">
        <v>6758</v>
      </c>
      <c r="AD552" s="150" t="s">
        <v>6759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293" t="s">
        <v>6760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12" t="s">
        <v>4338</v>
      </c>
      <c r="AW552" s="109" t="s">
        <v>4453</v>
      </c>
      <c r="AX552" s="157"/>
      <c r="AY552" s="157"/>
      <c r="AZ552" s="157"/>
      <c r="BA552" s="109" t="s">
        <v>4330</v>
      </c>
      <c r="BB552" s="112"/>
      <c r="BC552" s="220" t="str">
        <f t="shared" si="66"/>
        <v/>
      </c>
      <c r="BD552" s="103" t="str">
        <f t="shared" si="67"/>
        <v>INDENIZAÇÃO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544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6761</v>
      </c>
      <c r="G553" s="103" t="s">
        <v>4330</v>
      </c>
      <c r="H553" s="103" t="s">
        <v>4331</v>
      </c>
      <c r="I553" s="103" t="s">
        <v>4343</v>
      </c>
      <c r="J553" s="149" t="s">
        <v>6762</v>
      </c>
      <c r="K553" s="149" t="s">
        <v>6763</v>
      </c>
      <c r="L553" s="149" t="s">
        <v>6764</v>
      </c>
      <c r="M553" s="103" t="s">
        <v>4333</v>
      </c>
      <c r="N553" s="103" t="s">
        <v>4345</v>
      </c>
      <c r="O553" s="105">
        <v>46086</v>
      </c>
      <c r="P553" s="108">
        <v>46090</v>
      </c>
      <c r="Q553" s="108" t="s">
        <v>4436</v>
      </c>
      <c r="R553" s="105">
        <v>46090</v>
      </c>
      <c r="S553" s="105">
        <v>46099</v>
      </c>
      <c r="T553" s="105">
        <v>46101</v>
      </c>
      <c r="U553" s="105">
        <v>46118</v>
      </c>
      <c r="V553" s="105" t="s">
        <v>4437</v>
      </c>
      <c r="W553" s="105" t="s">
        <v>4437</v>
      </c>
      <c r="X553" s="105">
        <v>46118</v>
      </c>
      <c r="Y553" s="105">
        <v>46118</v>
      </c>
      <c r="Z553" s="105"/>
      <c r="AA553" s="105"/>
      <c r="AB553" s="149" t="s">
        <v>6762</v>
      </c>
      <c r="AC553" s="149" t="s">
        <v>6763</v>
      </c>
      <c r="AD553" s="149" t="s">
        <v>6764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 t="shared" si="66"/>
        <v/>
      </c>
      <c r="BD553" s="103" t="str">
        <f t="shared" si="67"/>
        <v>AA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  <c r="BN553" s="99"/>
      <c r="BO553" s="99"/>
      <c r="BP553" s="99"/>
      <c r="BQ553" s="99"/>
      <c r="BR553" s="99"/>
      <c r="BS553" s="99"/>
      <c r="BT553" s="99"/>
      <c r="BU553" s="99"/>
      <c r="BV553" s="99"/>
      <c r="BW553" s="99"/>
      <c r="BX553" s="99"/>
      <c r="BY553" s="99"/>
      <c r="BZ553" s="99"/>
      <c r="CA553" s="99"/>
      <c r="CB553" s="99"/>
      <c r="CC553" s="99"/>
      <c r="CD553" s="99"/>
      <c r="CE553" s="99"/>
      <c r="CF553" s="99"/>
      <c r="CG553" s="99"/>
      <c r="CH553" s="99"/>
      <c r="CI553" s="99"/>
      <c r="CJ553" s="99"/>
      <c r="CK553" s="99"/>
      <c r="CL553" s="99"/>
      <c r="CM553" s="99"/>
      <c r="CN553" s="99"/>
      <c r="CO553" s="99"/>
      <c r="CP553" s="99"/>
      <c r="CQ553" s="99"/>
      <c r="CR553" s="99"/>
      <c r="CS553" s="99"/>
      <c r="CT553" s="99"/>
      <c r="CU553" s="99"/>
      <c r="CV553" s="99"/>
      <c r="CW553" s="99"/>
      <c r="CX553" s="99"/>
      <c r="CY553" s="99"/>
      <c r="CZ553" s="99"/>
      <c r="DA553" s="99"/>
      <c r="DB553" s="99"/>
      <c r="DC553" s="99"/>
    </row>
    <row r="554" spans="1:107" s="232" customFormat="1" ht="29.25" customHeight="1">
      <c r="A554" s="165">
        <v>545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6761</v>
      </c>
      <c r="G554" s="103" t="s">
        <v>4330</v>
      </c>
      <c r="H554" s="103" t="s">
        <v>4331</v>
      </c>
      <c r="I554" s="142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45980</v>
      </c>
      <c r="P554" s="105">
        <v>46002</v>
      </c>
      <c r="Q554" s="105" t="s">
        <v>4436</v>
      </c>
      <c r="R554" s="105">
        <v>45999</v>
      </c>
      <c r="S554" s="105">
        <v>46006</v>
      </c>
      <c r="T554" s="105">
        <v>46006</v>
      </c>
      <c r="U554" s="105">
        <v>46009</v>
      </c>
      <c r="V554" s="105" t="s">
        <v>4437</v>
      </c>
      <c r="W554" s="105" t="s">
        <v>4437</v>
      </c>
      <c r="X554" s="105">
        <v>46014</v>
      </c>
      <c r="Y554" s="105">
        <v>46017</v>
      </c>
      <c r="Z554" s="105"/>
      <c r="AA554" s="103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03"/>
      <c r="AP554" s="171"/>
      <c r="AQ554" s="103"/>
      <c r="AR554" s="103"/>
      <c r="AS554" s="103"/>
      <c r="AT554" s="103"/>
      <c r="AU554" s="105"/>
      <c r="AV554" s="112"/>
      <c r="AW554" s="103"/>
      <c r="AX554" s="105"/>
      <c r="AY554" s="166"/>
      <c r="AZ554" s="105"/>
      <c r="BA554" s="103"/>
      <c r="BB554" s="136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40"/>
      <c r="BG554" s="140"/>
      <c r="BH554" s="140"/>
      <c r="BI554" s="140"/>
      <c r="BJ554" s="140"/>
      <c r="BK554" s="140"/>
      <c r="BL554" s="140"/>
      <c r="BM554" s="238"/>
    </row>
    <row r="555" spans="1:107" s="232" customFormat="1" ht="29.25" customHeight="1">
      <c r="A555" s="165">
        <v>546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6768</v>
      </c>
      <c r="G555" s="103" t="s">
        <v>4330</v>
      </c>
      <c r="H555" s="103" t="s">
        <v>4331</v>
      </c>
      <c r="I555" s="142" t="s">
        <v>4343</v>
      </c>
      <c r="J555" s="149" t="s">
        <v>6769</v>
      </c>
      <c r="K555" s="149" t="s">
        <v>6770</v>
      </c>
      <c r="L555" s="149" t="s">
        <v>6771</v>
      </c>
      <c r="M555" s="103" t="s">
        <v>4333</v>
      </c>
      <c r="N555" s="103" t="s">
        <v>4345</v>
      </c>
      <c r="O555" s="105">
        <v>45980</v>
      </c>
      <c r="P555" s="105">
        <v>45986</v>
      </c>
      <c r="Q555" s="108" t="s">
        <v>4436</v>
      </c>
      <c r="R555" s="108">
        <v>45985</v>
      </c>
      <c r="S555" s="108">
        <v>45986</v>
      </c>
      <c r="T555" s="108">
        <v>45987</v>
      </c>
      <c r="U555" s="108">
        <v>45992</v>
      </c>
      <c r="V555" s="105" t="s">
        <v>4437</v>
      </c>
      <c r="W555" s="105" t="s">
        <v>4437</v>
      </c>
      <c r="X555" s="105">
        <v>45999</v>
      </c>
      <c r="Y555" s="105">
        <v>46007</v>
      </c>
      <c r="Z555" s="105"/>
      <c r="AA555" s="103"/>
      <c r="AB555" s="149" t="s">
        <v>6769</v>
      </c>
      <c r="AC555" s="149" t="s">
        <v>6770</v>
      </c>
      <c r="AD555" s="149" t="s">
        <v>6771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212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 t="s">
        <v>4356</v>
      </c>
      <c r="AT555" s="103" t="s">
        <v>4356</v>
      </c>
      <c r="AU555" s="103" t="s">
        <v>4356</v>
      </c>
      <c r="AV555" s="103" t="s">
        <v>4356</v>
      </c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547</v>
      </c>
      <c r="B556" s="103" t="s">
        <v>4431</v>
      </c>
      <c r="C556" s="103" t="s">
        <v>4439</v>
      </c>
      <c r="D556" s="103">
        <v>1</v>
      </c>
      <c r="E556" s="103" t="s">
        <v>4432</v>
      </c>
      <c r="F556" s="104" t="s">
        <v>6768</v>
      </c>
      <c r="G556" s="103" t="s">
        <v>4330</v>
      </c>
      <c r="H556" s="103" t="s">
        <v>4331</v>
      </c>
      <c r="I556" s="103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8">
        <v>46134</v>
      </c>
      <c r="P556" s="105">
        <v>46147</v>
      </c>
      <c r="Q556" s="105" t="s">
        <v>4436</v>
      </c>
      <c r="R556" s="108">
        <v>46136</v>
      </c>
      <c r="S556" s="105">
        <v>46147</v>
      </c>
      <c r="T556" s="108">
        <v>46156</v>
      </c>
      <c r="U556" s="108">
        <v>46168</v>
      </c>
      <c r="V556" s="108" t="s">
        <v>4437</v>
      </c>
      <c r="W556" s="108" t="s">
        <v>4437</v>
      </c>
      <c r="X556" s="155">
        <v>46196</v>
      </c>
      <c r="Y556" s="108">
        <v>46197</v>
      </c>
      <c r="Z556" s="108"/>
      <c r="AA556" s="112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65" t="s">
        <v>4355</v>
      </c>
      <c r="AJ556" s="104" t="s">
        <v>4438</v>
      </c>
      <c r="AK556" s="103"/>
      <c r="AL556" s="103"/>
      <c r="AM556" s="103"/>
      <c r="AN556" s="103"/>
      <c r="AO556" s="112"/>
      <c r="AP556" s="171"/>
      <c r="AQ556" s="112"/>
      <c r="AR556" s="112"/>
      <c r="AS556" s="112"/>
      <c r="AT556" s="112"/>
      <c r="AU556" s="112"/>
      <c r="AV556" s="112"/>
      <c r="AW556" s="112"/>
      <c r="AX556" s="112"/>
      <c r="AY556" s="166"/>
      <c r="AZ556" s="108"/>
      <c r="BA556" s="112"/>
      <c r="BB556" s="112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12"/>
      <c r="BG556" s="147"/>
      <c r="BH556" s="147"/>
      <c r="BI556" s="112"/>
      <c r="BJ556" s="112"/>
      <c r="BK556" s="112"/>
      <c r="BL556" s="112"/>
      <c r="BM556" s="236"/>
    </row>
    <row r="557" spans="1:107" s="232" customFormat="1" ht="29.25" customHeight="1">
      <c r="A557" s="103">
        <v>548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6775</v>
      </c>
      <c r="G557" s="103" t="s">
        <v>4330</v>
      </c>
      <c r="H557" s="103" t="s">
        <v>4331</v>
      </c>
      <c r="I557" s="103" t="s">
        <v>4343</v>
      </c>
      <c r="J557" s="149" t="s">
        <v>6776</v>
      </c>
      <c r="K557" s="149" t="s">
        <v>6777</v>
      </c>
      <c r="L557" s="149" t="s">
        <v>6778</v>
      </c>
      <c r="M557" s="103" t="s">
        <v>4333</v>
      </c>
      <c r="N557" s="103" t="s">
        <v>4345</v>
      </c>
      <c r="O557" s="108">
        <v>46134</v>
      </c>
      <c r="P557" s="105">
        <v>46126</v>
      </c>
      <c r="Q557" s="105" t="s">
        <v>4436</v>
      </c>
      <c r="R557" s="108">
        <v>46126</v>
      </c>
      <c r="S557" s="108">
        <v>46126</v>
      </c>
      <c r="T557" s="108">
        <v>46136</v>
      </c>
      <c r="U557" s="108">
        <v>46140</v>
      </c>
      <c r="V557" s="108" t="s">
        <v>4437</v>
      </c>
      <c r="W557" s="108" t="s">
        <v>4437</v>
      </c>
      <c r="X557" s="105">
        <v>46153</v>
      </c>
      <c r="Y557" s="108">
        <v>46156</v>
      </c>
      <c r="Z557" s="108"/>
      <c r="AA557" s="112"/>
      <c r="AB557" s="149" t="s">
        <v>6776</v>
      </c>
      <c r="AC557" s="149" t="s">
        <v>6777</v>
      </c>
      <c r="AD557" s="149" t="s">
        <v>6778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99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549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6779</v>
      </c>
      <c r="G558" s="103" t="s">
        <v>4330</v>
      </c>
      <c r="H558" s="103" t="s">
        <v>4331</v>
      </c>
      <c r="I558" s="103" t="s">
        <v>4343</v>
      </c>
      <c r="J558" s="149" t="s">
        <v>6780</v>
      </c>
      <c r="K558" s="149" t="s">
        <v>6781</v>
      </c>
      <c r="L558" s="149" t="s">
        <v>6782</v>
      </c>
      <c r="M558" s="103" t="s">
        <v>4333</v>
      </c>
      <c r="N558" s="103" t="s">
        <v>4345</v>
      </c>
      <c r="O558" s="105">
        <v>46080</v>
      </c>
      <c r="P558" s="105">
        <v>46084</v>
      </c>
      <c r="Q558" s="105" t="s">
        <v>4436</v>
      </c>
      <c r="R558" s="105">
        <v>46083</v>
      </c>
      <c r="S558" s="108">
        <v>46084</v>
      </c>
      <c r="T558" s="108">
        <v>46087</v>
      </c>
      <c r="U558" s="108">
        <v>46090</v>
      </c>
      <c r="V558" s="105" t="s">
        <v>4437</v>
      </c>
      <c r="W558" s="105" t="s">
        <v>4437</v>
      </c>
      <c r="X558" s="105">
        <v>46101</v>
      </c>
      <c r="Y558" s="105">
        <v>46101</v>
      </c>
      <c r="Z558" s="105"/>
      <c r="AA558" s="105"/>
      <c r="AB558" s="149" t="s">
        <v>6780</v>
      </c>
      <c r="AC558" s="149" t="s">
        <v>6781</v>
      </c>
      <c r="AD558" s="149" t="s">
        <v>6782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03" t="s">
        <v>4355</v>
      </c>
      <c r="AJ558" s="104" t="s">
        <v>4438</v>
      </c>
      <c r="AK558" s="103"/>
      <c r="AL558" s="103"/>
      <c r="AM558" s="103"/>
      <c r="AN558" s="103"/>
      <c r="AO558" s="142"/>
      <c r="AP558" s="171"/>
      <c r="AQ558" s="142"/>
      <c r="AR558" s="142"/>
      <c r="AS558" s="142"/>
      <c r="AT558" s="142"/>
      <c r="AU558" s="142"/>
      <c r="AV558" s="142"/>
      <c r="AW558" s="142"/>
      <c r="AX558" s="142"/>
      <c r="AY558" s="166"/>
      <c r="AZ558" s="207"/>
      <c r="BA558" s="14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  <c r="BN558" s="99"/>
      <c r="BO558" s="99"/>
      <c r="BP558" s="99"/>
      <c r="BQ558" s="99"/>
      <c r="BR558" s="99"/>
      <c r="BS558" s="99"/>
      <c r="BT558" s="99"/>
      <c r="BU558" s="99"/>
      <c r="BV558" s="99"/>
      <c r="BW558" s="99"/>
      <c r="BX558" s="99"/>
      <c r="BY558" s="99"/>
      <c r="BZ558" s="99"/>
      <c r="CA558" s="99"/>
      <c r="CB558" s="99"/>
      <c r="CC558" s="99"/>
      <c r="CD558" s="99"/>
      <c r="CE558" s="99"/>
      <c r="CF558" s="99"/>
      <c r="CG558" s="99"/>
      <c r="CH558" s="99"/>
      <c r="CI558" s="99"/>
      <c r="CJ558" s="99"/>
      <c r="CK558" s="99"/>
      <c r="CL558" s="99"/>
      <c r="CM558" s="99"/>
      <c r="CN558" s="99"/>
      <c r="CO558" s="99"/>
      <c r="CP558" s="99"/>
      <c r="CQ558" s="99"/>
      <c r="CR558" s="99"/>
      <c r="CS558" s="99"/>
      <c r="CT558" s="99"/>
      <c r="CU558" s="99"/>
      <c r="CV558" s="99"/>
      <c r="CW558" s="99"/>
      <c r="CX558" s="99"/>
      <c r="CY558" s="99"/>
      <c r="CZ558" s="99"/>
      <c r="DA558" s="99"/>
      <c r="DB558" s="99"/>
      <c r="DC558" s="99"/>
    </row>
    <row r="559" spans="1:107" s="232" customFormat="1" ht="29.25" customHeight="1">
      <c r="A559" s="103">
        <v>550</v>
      </c>
      <c r="B559" s="103" t="s">
        <v>4431</v>
      </c>
      <c r="C559" s="103" t="s">
        <v>4448</v>
      </c>
      <c r="D559" s="103">
        <v>1</v>
      </c>
      <c r="E559" s="103" t="s">
        <v>4432</v>
      </c>
      <c r="F559" s="104" t="s">
        <v>6783</v>
      </c>
      <c r="G559" s="103" t="s">
        <v>4330</v>
      </c>
      <c r="H559" s="103" t="s">
        <v>4331</v>
      </c>
      <c r="I559" s="142" t="s">
        <v>4343</v>
      </c>
      <c r="J559" s="149" t="s">
        <v>6784</v>
      </c>
      <c r="K559" s="149" t="s">
        <v>6785</v>
      </c>
      <c r="L559" s="149" t="s">
        <v>6786</v>
      </c>
      <c r="M559" s="103" t="s">
        <v>4333</v>
      </c>
      <c r="N559" s="103" t="s">
        <v>4345</v>
      </c>
      <c r="O559" s="105">
        <v>45980</v>
      </c>
      <c r="P559" s="105">
        <v>45986</v>
      </c>
      <c r="Q559" s="108" t="s">
        <v>4436</v>
      </c>
      <c r="R559" s="108">
        <v>45985</v>
      </c>
      <c r="S559" s="108">
        <v>45986</v>
      </c>
      <c r="T559" s="108">
        <v>45987</v>
      </c>
      <c r="U559" s="108">
        <v>45992</v>
      </c>
      <c r="V559" s="105" t="s">
        <v>4437</v>
      </c>
      <c r="W559" s="105" t="s">
        <v>4437</v>
      </c>
      <c r="X559" s="105">
        <v>45999</v>
      </c>
      <c r="Y559" s="105">
        <v>46003</v>
      </c>
      <c r="Z559" s="105"/>
      <c r="AA559" s="103"/>
      <c r="AB559" s="149" t="s">
        <v>6784</v>
      </c>
      <c r="AC559" s="149" t="s">
        <v>6785</v>
      </c>
      <c r="AD559" s="149" t="s">
        <v>6786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212" t="s">
        <v>4355</v>
      </c>
      <c r="AJ559" s="104" t="s">
        <v>4438</v>
      </c>
      <c r="AK559" s="103"/>
      <c r="AL559" s="103"/>
      <c r="AM559" s="103"/>
      <c r="AN559" s="103"/>
      <c r="AO559" s="103"/>
      <c r="AP559" s="171"/>
      <c r="AQ559" s="103"/>
      <c r="AR559" s="103"/>
      <c r="AS559" s="103" t="s">
        <v>4356</v>
      </c>
      <c r="AT559" s="103" t="s">
        <v>4356</v>
      </c>
      <c r="AU559" s="103" t="s">
        <v>4356</v>
      </c>
      <c r="AV559" s="103" t="s">
        <v>4356</v>
      </c>
      <c r="AW559" s="103"/>
      <c r="AX559" s="105"/>
      <c r="AY559" s="166"/>
      <c r="AZ559" s="105"/>
      <c r="BA559" s="103"/>
      <c r="BB559" s="136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40"/>
      <c r="BG559" s="140"/>
      <c r="BH559" s="140"/>
      <c r="BI559" s="140"/>
      <c r="BJ559" s="140"/>
      <c r="BK559" s="140"/>
      <c r="BL559" s="140"/>
      <c r="BM559" s="238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65">
        <v>551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6783</v>
      </c>
      <c r="G560" s="103" t="s">
        <v>4330</v>
      </c>
      <c r="H560" s="103" t="s">
        <v>4331</v>
      </c>
      <c r="I560" s="103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46086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65" t="s">
        <v>4355</v>
      </c>
      <c r="AJ560" s="104" t="s">
        <v>4438</v>
      </c>
      <c r="AK560" s="103"/>
      <c r="AL560" s="103"/>
      <c r="AM560" s="103"/>
      <c r="AN560" s="103"/>
      <c r="AO560" s="112"/>
      <c r="AP560" s="171"/>
      <c r="AQ560" s="112"/>
      <c r="AR560" s="112"/>
      <c r="AS560" s="112"/>
      <c r="AT560" s="112"/>
      <c r="AU560" s="112"/>
      <c r="AV560" s="112"/>
      <c r="AW560" s="112"/>
      <c r="AX560" s="112"/>
      <c r="AY560" s="166"/>
      <c r="AZ560" s="108"/>
      <c r="BA560" s="112"/>
      <c r="BB560" s="112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12"/>
      <c r="BG560" s="147"/>
      <c r="BH560" s="147"/>
      <c r="BI560" s="112"/>
      <c r="BJ560" s="112"/>
      <c r="BK560" s="112"/>
      <c r="BL560" s="112"/>
      <c r="BM560" s="236"/>
    </row>
    <row r="561" spans="1:107" s="232" customFormat="1" ht="29.25" customHeight="1">
      <c r="A561" s="165">
        <v>552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6790</v>
      </c>
      <c r="G561" s="103" t="s">
        <v>4330</v>
      </c>
      <c r="H561" s="103" t="s">
        <v>4331</v>
      </c>
      <c r="I561" s="103" t="s">
        <v>4343</v>
      </c>
      <c r="J561" s="149" t="s">
        <v>6791</v>
      </c>
      <c r="K561" s="149" t="s">
        <v>6792</v>
      </c>
      <c r="L561" s="149" t="s">
        <v>6793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6791</v>
      </c>
      <c r="AC561" s="149" t="s">
        <v>6792</v>
      </c>
      <c r="AD561" s="149" t="s">
        <v>6793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553</v>
      </c>
      <c r="B562" s="103" t="s">
        <v>4431</v>
      </c>
      <c r="C562" s="103" t="s">
        <v>4448</v>
      </c>
      <c r="D562" s="103">
        <v>1</v>
      </c>
      <c r="E562" s="103" t="s">
        <v>4432</v>
      </c>
      <c r="F562" s="104" t="s">
        <v>6794</v>
      </c>
      <c r="G562" s="103" t="s">
        <v>4330</v>
      </c>
      <c r="H562" s="103" t="s">
        <v>4331</v>
      </c>
      <c r="I562" s="142" t="s">
        <v>4343</v>
      </c>
      <c r="J562" s="149" t="s">
        <v>6795</v>
      </c>
      <c r="K562" s="149" t="s">
        <v>6796</v>
      </c>
      <c r="L562" s="149" t="s">
        <v>6797</v>
      </c>
      <c r="M562" s="103" t="s">
        <v>4333</v>
      </c>
      <c r="N562" s="103" t="s">
        <v>4459</v>
      </c>
      <c r="O562" s="105">
        <v>45996</v>
      </c>
      <c r="P562" s="105" t="s">
        <v>4356</v>
      </c>
      <c r="Q562" s="105" t="s">
        <v>4356</v>
      </c>
      <c r="R562" s="105" t="s">
        <v>4356</v>
      </c>
      <c r="S562" s="105" t="s">
        <v>4356</v>
      </c>
      <c r="T562" s="105" t="s">
        <v>4356</v>
      </c>
      <c r="U562" s="105" t="s">
        <v>4356</v>
      </c>
      <c r="V562" s="105" t="s">
        <v>4356</v>
      </c>
      <c r="W562" s="105" t="s">
        <v>4356</v>
      </c>
      <c r="X562" s="105" t="s">
        <v>4356</v>
      </c>
      <c r="Y562" s="105" t="s">
        <v>4356</v>
      </c>
      <c r="Z562" s="105"/>
      <c r="AA562" s="105"/>
      <c r="AB562" s="149" t="s">
        <v>6795</v>
      </c>
      <c r="AC562" s="149" t="s">
        <v>6796</v>
      </c>
      <c r="AD562" s="149" t="s">
        <v>6797</v>
      </c>
      <c r="AE562" s="103" t="s">
        <v>4343</v>
      </c>
      <c r="AF562" s="103" t="s">
        <v>4333</v>
      </c>
      <c r="AG562" s="194">
        <v>21477.18</v>
      </c>
      <c r="AH562" s="194">
        <f>AG562+30000</f>
        <v>51477.18</v>
      </c>
      <c r="AI562" s="103" t="s">
        <v>4336</v>
      </c>
      <c r="AJ562" s="104" t="s">
        <v>4438</v>
      </c>
      <c r="AK562" s="103">
        <v>146670420</v>
      </c>
      <c r="AL562" s="103" t="s">
        <v>4338</v>
      </c>
      <c r="AM562" s="103" t="s">
        <v>4338</v>
      </c>
      <c r="AN562" s="103" t="s">
        <v>4339</v>
      </c>
      <c r="AO562" s="112"/>
      <c r="AP562" s="171" t="s">
        <v>6798</v>
      </c>
      <c r="AQ562" s="103" t="s">
        <v>4338</v>
      </c>
      <c r="AR562" s="103" t="s">
        <v>4338</v>
      </c>
      <c r="AS562" s="103" t="s">
        <v>4338</v>
      </c>
      <c r="AT562" s="103" t="s">
        <v>4338</v>
      </c>
      <c r="AU562" s="105">
        <v>46020</v>
      </c>
      <c r="AV562" s="112" t="s">
        <v>4338</v>
      </c>
      <c r="AW562" s="103" t="s">
        <v>4338</v>
      </c>
      <c r="AX562" s="166">
        <v>46027</v>
      </c>
      <c r="AY562" s="106">
        <v>46027</v>
      </c>
      <c r="AZ562" s="157" t="s">
        <v>4453</v>
      </c>
      <c r="BA562" s="107" t="s">
        <v>4454</v>
      </c>
      <c r="BB562" s="136" t="s">
        <v>4338</v>
      </c>
      <c r="BC562" s="220">
        <f t="shared" si="66"/>
        <v>31</v>
      </c>
      <c r="BD562" s="103" t="str">
        <f t="shared" si="67"/>
        <v>INDENIZAÇÃO</v>
      </c>
      <c r="BE562" s="103" t="str">
        <f t="shared" si="68"/>
        <v>NÃO</v>
      </c>
      <c r="BF562" s="140" t="s">
        <v>4357</v>
      </c>
      <c r="BG562" s="140" t="s">
        <v>4357</v>
      </c>
      <c r="BH562" s="140" t="s">
        <v>4357</v>
      </c>
      <c r="BI562" s="154" t="s">
        <v>5393</v>
      </c>
      <c r="BJ562" s="154"/>
      <c r="BK562" s="154"/>
      <c r="BL562" s="154"/>
      <c r="BM562" s="237"/>
    </row>
    <row r="563" spans="1:107" s="232" customFormat="1" ht="29.25" customHeight="1">
      <c r="A563" s="103">
        <v>554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6794</v>
      </c>
      <c r="G563" s="112" t="s">
        <v>4330</v>
      </c>
      <c r="H563" s="112" t="s">
        <v>4331</v>
      </c>
      <c r="I563" s="112" t="s">
        <v>4343</v>
      </c>
      <c r="J563" s="150" t="s">
        <v>6799</v>
      </c>
      <c r="K563" s="150" t="s">
        <v>6800</v>
      </c>
      <c r="L563" s="150" t="s">
        <v>6801</v>
      </c>
      <c r="M563" s="112" t="s">
        <v>4333</v>
      </c>
      <c r="N563" s="112" t="s">
        <v>4334</v>
      </c>
      <c r="O563" s="108">
        <v>46125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50" t="s">
        <v>6799</v>
      </c>
      <c r="AC563" s="150" t="s">
        <v>6800</v>
      </c>
      <c r="AD563" s="150" t="s">
        <v>6801</v>
      </c>
      <c r="AE563" s="112" t="s">
        <v>4343</v>
      </c>
      <c r="AF563" s="112" t="s">
        <v>4333</v>
      </c>
      <c r="AG563" s="194">
        <v>16467.03</v>
      </c>
      <c r="AH563" s="194">
        <f>AG563+30000</f>
        <v>46467.03</v>
      </c>
      <c r="AI563" s="103" t="s">
        <v>4336</v>
      </c>
      <c r="AJ563" s="104" t="s">
        <v>4438</v>
      </c>
      <c r="AK563" s="103">
        <v>153982499</v>
      </c>
      <c r="AL563" s="103" t="s">
        <v>4338</v>
      </c>
      <c r="AM563" s="103" t="s">
        <v>4338</v>
      </c>
      <c r="AN563" s="103" t="s">
        <v>4339</v>
      </c>
      <c r="AO563" s="112"/>
      <c r="AP563" s="277" t="s">
        <v>6802</v>
      </c>
      <c r="AQ563" s="259" t="s">
        <v>4338</v>
      </c>
      <c r="AR563" s="112" t="s">
        <v>4338</v>
      </c>
      <c r="AS563" s="112" t="s">
        <v>4338</v>
      </c>
      <c r="AT563" s="112" t="s">
        <v>4338</v>
      </c>
      <c r="AU563" s="105">
        <v>46226</v>
      </c>
      <c r="AV563" s="112" t="s">
        <v>4338</v>
      </c>
      <c r="AW563" s="109" t="s">
        <v>4453</v>
      </c>
      <c r="AX563" s="109"/>
      <c r="AY563" s="157"/>
      <c r="AZ563" s="157"/>
      <c r="BA563" s="109" t="s">
        <v>4330</v>
      </c>
      <c r="BB563" s="112"/>
      <c r="BC563" s="220" t="str">
        <f t="shared" si="66"/>
        <v/>
      </c>
      <c r="BD563" s="103" t="str">
        <f t="shared" si="67"/>
        <v>INDENIZAÇÃO</v>
      </c>
      <c r="BE563" s="103" t="str">
        <f t="shared" si="68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customHeight="1">
      <c r="A564" s="103">
        <v>555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6803</v>
      </c>
      <c r="G564" s="103" t="s">
        <v>4330</v>
      </c>
      <c r="H564" s="103" t="s">
        <v>4331</v>
      </c>
      <c r="I564" s="103" t="s">
        <v>4343</v>
      </c>
      <c r="J564" s="149" t="s">
        <v>6804</v>
      </c>
      <c r="K564" s="149" t="s">
        <v>6805</v>
      </c>
      <c r="L564" s="149" t="s">
        <v>6806</v>
      </c>
      <c r="M564" s="103" t="s">
        <v>4333</v>
      </c>
      <c r="N564" s="103" t="s">
        <v>4345</v>
      </c>
      <c r="O564" s="105">
        <v>46086</v>
      </c>
      <c r="P564" s="108">
        <v>46090</v>
      </c>
      <c r="Q564" s="108" t="s">
        <v>4436</v>
      </c>
      <c r="R564" s="105">
        <v>46090</v>
      </c>
      <c r="S564" s="105">
        <v>46099</v>
      </c>
      <c r="T564" s="105">
        <v>46101</v>
      </c>
      <c r="U564" s="105">
        <v>46118</v>
      </c>
      <c r="V564" s="105" t="s">
        <v>4437</v>
      </c>
      <c r="W564" s="105" t="s">
        <v>4437</v>
      </c>
      <c r="X564" s="105">
        <v>46118</v>
      </c>
      <c r="Y564" s="105">
        <v>46119</v>
      </c>
      <c r="Z564" s="105"/>
      <c r="AA564" s="105"/>
      <c r="AB564" s="149" t="s">
        <v>6804</v>
      </c>
      <c r="AC564" s="149" t="s">
        <v>6805</v>
      </c>
      <c r="AD564" s="149" t="s">
        <v>6806</v>
      </c>
      <c r="AE564" s="103" t="s">
        <v>4343</v>
      </c>
      <c r="AF564" s="103" t="s">
        <v>4333</v>
      </c>
      <c r="AG564" s="194" t="s">
        <v>4356</v>
      </c>
      <c r="AH564" s="194" t="s">
        <v>4356</v>
      </c>
      <c r="AI564" s="103" t="s">
        <v>4355</v>
      </c>
      <c r="AJ564" s="104" t="s">
        <v>4438</v>
      </c>
      <c r="AK564" s="103"/>
      <c r="AL564" s="103"/>
      <c r="AM564" s="103"/>
      <c r="AN564" s="103"/>
      <c r="AO564" s="112"/>
      <c r="AP564" s="171"/>
      <c r="AQ564" s="112"/>
      <c r="AR564" s="112"/>
      <c r="AS564" s="112"/>
      <c r="AT564" s="112"/>
      <c r="AU564" s="112"/>
      <c r="AV564" s="112"/>
      <c r="AW564" s="112"/>
      <c r="AX564" s="112"/>
      <c r="AY564" s="166"/>
      <c r="AZ564" s="108"/>
      <c r="BA564" s="112"/>
      <c r="BB564" s="112"/>
      <c r="BC564" s="220" t="str">
        <f t="shared" si="66"/>
        <v/>
      </c>
      <c r="BD564" s="103" t="str">
        <f t="shared" si="67"/>
        <v>AA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556</v>
      </c>
      <c r="B565" s="103" t="s">
        <v>4431</v>
      </c>
      <c r="C565" s="103" t="s">
        <v>4448</v>
      </c>
      <c r="D565" s="103">
        <v>1</v>
      </c>
      <c r="E565" s="103" t="s">
        <v>4432</v>
      </c>
      <c r="F565" s="104" t="s">
        <v>6803</v>
      </c>
      <c r="G565" s="103" t="s">
        <v>4330</v>
      </c>
      <c r="H565" s="103" t="s">
        <v>4331</v>
      </c>
      <c r="I565" s="142" t="s">
        <v>4343</v>
      </c>
      <c r="J565" s="149" t="s">
        <v>6807</v>
      </c>
      <c r="K565" s="149" t="s">
        <v>6808</v>
      </c>
      <c r="L565" s="149" t="s">
        <v>6809</v>
      </c>
      <c r="M565" s="103" t="s">
        <v>4333</v>
      </c>
      <c r="N565" s="103" t="s">
        <v>4345</v>
      </c>
      <c r="O565" s="105">
        <v>45996</v>
      </c>
      <c r="P565" s="105">
        <v>46002</v>
      </c>
      <c r="Q565" s="105" t="s">
        <v>4436</v>
      </c>
      <c r="R565" s="105">
        <v>45999</v>
      </c>
      <c r="S565" s="105">
        <v>46006</v>
      </c>
      <c r="T565" s="105">
        <v>46006</v>
      </c>
      <c r="U565" s="105">
        <v>46009</v>
      </c>
      <c r="V565" s="105" t="s">
        <v>4437</v>
      </c>
      <c r="W565" s="105" t="s">
        <v>4437</v>
      </c>
      <c r="X565" s="105">
        <v>46014</v>
      </c>
      <c r="Y565" s="105">
        <v>46017</v>
      </c>
      <c r="Z565" s="105"/>
      <c r="AA565" s="103"/>
      <c r="AB565" s="149" t="s">
        <v>6807</v>
      </c>
      <c r="AC565" s="149" t="s">
        <v>6808</v>
      </c>
      <c r="AD565" s="149" t="s">
        <v>6809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03"/>
      <c r="AP565" s="171"/>
      <c r="AQ565" s="98"/>
      <c r="AR565" s="103"/>
      <c r="AS565" s="103"/>
      <c r="AT565" s="103"/>
      <c r="AU565" s="105"/>
      <c r="AV565" s="112"/>
      <c r="AW565" s="103"/>
      <c r="AX565" s="105"/>
      <c r="AY565" s="166"/>
      <c r="AZ565" s="105"/>
      <c r="BA565" s="103"/>
      <c r="BB565" s="136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40"/>
      <c r="BG565" s="140"/>
      <c r="BH565" s="140"/>
      <c r="BI565" s="140"/>
      <c r="BJ565" s="140"/>
      <c r="BK565" s="140"/>
      <c r="BL565" s="140"/>
      <c r="BM565" s="238"/>
      <c r="BN565" s="99"/>
      <c r="BO565" s="99"/>
      <c r="BP565" s="99"/>
      <c r="BQ565" s="99"/>
      <c r="BR565" s="99"/>
      <c r="BS565" s="99"/>
      <c r="BT565" s="99"/>
      <c r="BU565" s="99"/>
      <c r="BV565" s="99"/>
      <c r="BW565" s="99"/>
      <c r="BX565" s="99"/>
      <c r="BY565" s="99"/>
      <c r="BZ565" s="99"/>
      <c r="CA565" s="99"/>
      <c r="CB565" s="99"/>
      <c r="CC565" s="99"/>
      <c r="CD565" s="99"/>
      <c r="CE565" s="99"/>
      <c r="CF565" s="99"/>
      <c r="CG565" s="99"/>
      <c r="CH565" s="99"/>
      <c r="CI565" s="99"/>
      <c r="CJ565" s="99"/>
      <c r="CK565" s="99"/>
      <c r="CL565" s="99"/>
      <c r="CM565" s="99"/>
      <c r="CN565" s="99"/>
      <c r="CO565" s="99"/>
      <c r="CP565" s="99"/>
      <c r="CQ565" s="99"/>
      <c r="CR565" s="99"/>
      <c r="CS565" s="99"/>
      <c r="CT565" s="99"/>
      <c r="CU565" s="99"/>
      <c r="CV565" s="99"/>
      <c r="CW565" s="99"/>
      <c r="CX565" s="99"/>
      <c r="CY565" s="99"/>
      <c r="CZ565" s="99"/>
      <c r="DA565" s="99"/>
      <c r="DB565" s="99"/>
      <c r="DC565" s="99"/>
    </row>
    <row r="566" spans="1:107" s="232" customFormat="1" ht="29.25" customHeight="1">
      <c r="A566" s="165">
        <v>557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6810</v>
      </c>
      <c r="G566" s="103" t="s">
        <v>4330</v>
      </c>
      <c r="H566" s="103" t="s">
        <v>4331</v>
      </c>
      <c r="I566" s="103" t="s">
        <v>4343</v>
      </c>
      <c r="J566" s="149" t="s">
        <v>6811</v>
      </c>
      <c r="K566" s="149" t="s">
        <v>6812</v>
      </c>
      <c r="L566" s="149" t="s">
        <v>6813</v>
      </c>
      <c r="M566" s="103" t="s">
        <v>4333</v>
      </c>
      <c r="N566" s="103" t="s">
        <v>4345</v>
      </c>
      <c r="O566" s="105">
        <v>46086</v>
      </c>
      <c r="P566" s="105">
        <v>46106</v>
      </c>
      <c r="Q566" s="108" t="s">
        <v>4436</v>
      </c>
      <c r="R566" s="105">
        <v>46106</v>
      </c>
      <c r="S566" s="105">
        <v>46107</v>
      </c>
      <c r="T566" s="105">
        <v>46111</v>
      </c>
      <c r="U566" s="105">
        <v>46087</v>
      </c>
      <c r="V566" s="105" t="s">
        <v>4437</v>
      </c>
      <c r="W566" s="105" t="s">
        <v>4437</v>
      </c>
      <c r="X566" s="105">
        <v>46132</v>
      </c>
      <c r="Y566" s="105">
        <v>46129</v>
      </c>
      <c r="Z566" s="105"/>
      <c r="AA566" s="105"/>
      <c r="AB566" s="149" t="s">
        <v>6811</v>
      </c>
      <c r="AC566" s="149" t="s">
        <v>6812</v>
      </c>
      <c r="AD566" s="149" t="s">
        <v>6813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99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customHeight="1">
      <c r="A567" s="165">
        <v>558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03" t="s">
        <v>4343</v>
      </c>
      <c r="J567" s="149" t="s">
        <v>6815</v>
      </c>
      <c r="K567" s="149" t="s">
        <v>6816</v>
      </c>
      <c r="L567" s="149" t="s">
        <v>6817</v>
      </c>
      <c r="M567" s="103" t="s">
        <v>4333</v>
      </c>
      <c r="N567" s="103" t="s">
        <v>4345</v>
      </c>
      <c r="O567" s="105">
        <v>46080</v>
      </c>
      <c r="P567" s="105">
        <v>46084</v>
      </c>
      <c r="Q567" s="105" t="s">
        <v>4436</v>
      </c>
      <c r="R567" s="105">
        <v>46083</v>
      </c>
      <c r="S567" s="108">
        <v>46084</v>
      </c>
      <c r="T567" s="108">
        <v>46087</v>
      </c>
      <c r="U567" s="108">
        <v>46090</v>
      </c>
      <c r="V567" s="105" t="s">
        <v>4437</v>
      </c>
      <c r="W567" s="105" t="s">
        <v>4437</v>
      </c>
      <c r="X567" s="105">
        <v>46101</v>
      </c>
      <c r="Y567" s="105">
        <v>46104</v>
      </c>
      <c r="Z567" s="105"/>
      <c r="AA567" s="105"/>
      <c r="AB567" s="149" t="s">
        <v>6815</v>
      </c>
      <c r="AC567" s="149" t="s">
        <v>6816</v>
      </c>
      <c r="AD567" s="149" t="s">
        <v>6817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42"/>
      <c r="AP567" s="171"/>
      <c r="AQ567" s="172"/>
      <c r="AR567" s="142"/>
      <c r="AS567" s="142"/>
      <c r="AT567" s="142"/>
      <c r="AU567" s="142"/>
      <c r="AV567" s="142"/>
      <c r="AW567" s="142"/>
      <c r="AX567" s="142"/>
      <c r="AY567" s="166"/>
      <c r="AZ567" s="207"/>
      <c r="BA567" s="14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559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6818</v>
      </c>
      <c r="G568" s="103" t="s">
        <v>4330</v>
      </c>
      <c r="H568" s="103" t="s">
        <v>4331</v>
      </c>
      <c r="I568" s="103" t="s">
        <v>4343</v>
      </c>
      <c r="J568" s="149" t="s">
        <v>6819</v>
      </c>
      <c r="K568" s="149" t="s">
        <v>4432</v>
      </c>
      <c r="L568" s="149" t="s">
        <v>6820</v>
      </c>
      <c r="M568" s="103" t="s">
        <v>4333</v>
      </c>
      <c r="N568" s="103" t="s">
        <v>4345</v>
      </c>
      <c r="O568" s="105">
        <v>46086</v>
      </c>
      <c r="P568" s="108">
        <v>46090</v>
      </c>
      <c r="Q568" s="108" t="s">
        <v>4436</v>
      </c>
      <c r="R568" s="105">
        <v>46090</v>
      </c>
      <c r="S568" s="105">
        <v>46099</v>
      </c>
      <c r="T568" s="105">
        <v>46101</v>
      </c>
      <c r="U568" s="105">
        <v>46118</v>
      </c>
      <c r="V568" s="105" t="s">
        <v>4437</v>
      </c>
      <c r="W568" s="105" t="s">
        <v>4437</v>
      </c>
      <c r="X568" s="105">
        <v>46118</v>
      </c>
      <c r="Y568" s="105">
        <v>46118</v>
      </c>
      <c r="Z568" s="105"/>
      <c r="AA568" s="105"/>
      <c r="AB568" s="149" t="s">
        <v>6819</v>
      </c>
      <c r="AC568" s="149" t="s">
        <v>4432</v>
      </c>
      <c r="AD568" s="149" t="s">
        <v>6820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112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03">
        <v>560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6821</v>
      </c>
      <c r="G569" s="103" t="s">
        <v>4330</v>
      </c>
      <c r="H569" s="103" t="s">
        <v>4331</v>
      </c>
      <c r="I569" s="103" t="s">
        <v>4343</v>
      </c>
      <c r="J569" s="149" t="s">
        <v>1934</v>
      </c>
      <c r="K569" s="149" t="s">
        <v>6822</v>
      </c>
      <c r="L569" s="149" t="s">
        <v>6823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1934</v>
      </c>
      <c r="AC569" s="149" t="s">
        <v>6822</v>
      </c>
      <c r="AD569" s="149" t="s">
        <v>6823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99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ht="30" customHeight="1">
      <c r="A570" s="103">
        <v>561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6824</v>
      </c>
      <c r="G570" s="103" t="s">
        <v>4330</v>
      </c>
      <c r="H570" s="103" t="s">
        <v>4331</v>
      </c>
      <c r="I570" s="103" t="s">
        <v>4343</v>
      </c>
      <c r="J570" s="149" t="s">
        <v>6825</v>
      </c>
      <c r="K570" s="149" t="s">
        <v>6826</v>
      </c>
      <c r="L570" s="149" t="s">
        <v>6827</v>
      </c>
      <c r="M570" s="103" t="s">
        <v>4333</v>
      </c>
      <c r="N570" s="103" t="s">
        <v>4345</v>
      </c>
      <c r="O570" s="108">
        <v>46134</v>
      </c>
      <c r="P570" s="105">
        <v>46126</v>
      </c>
      <c r="Q570" s="105" t="s">
        <v>4436</v>
      </c>
      <c r="R570" s="108">
        <v>46126</v>
      </c>
      <c r="S570" s="108">
        <v>46126</v>
      </c>
      <c r="T570" s="108">
        <v>46136</v>
      </c>
      <c r="U570" s="108">
        <v>46140</v>
      </c>
      <c r="V570" s="108" t="s">
        <v>4437</v>
      </c>
      <c r="W570" s="108" t="s">
        <v>4437</v>
      </c>
      <c r="X570" s="105">
        <v>46153</v>
      </c>
      <c r="Y570" s="108">
        <v>46154</v>
      </c>
      <c r="Z570" s="108"/>
      <c r="AA570" s="112"/>
      <c r="AB570" s="149" t="s">
        <v>6825</v>
      </c>
      <c r="AC570" s="149" t="s">
        <v>6826</v>
      </c>
      <c r="AD570" s="149" t="s">
        <v>6827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  <c r="BN570" s="232"/>
      <c r="BO570" s="232"/>
      <c r="BP570" s="232"/>
      <c r="BQ570" s="232"/>
      <c r="BR570" s="232"/>
      <c r="BS570" s="232"/>
      <c r="BT570" s="232"/>
      <c r="BU570" s="232"/>
      <c r="BV570" s="232"/>
      <c r="BW570" s="232"/>
      <c r="BX570" s="232"/>
      <c r="BY570" s="232"/>
      <c r="BZ570" s="232"/>
      <c r="CA570" s="232"/>
      <c r="CB570" s="232"/>
      <c r="CC570" s="232"/>
      <c r="CD570" s="232"/>
      <c r="CE570" s="232"/>
      <c r="CF570" s="232"/>
      <c r="CG570" s="232"/>
      <c r="CH570" s="232"/>
      <c r="CI570" s="232"/>
      <c r="CJ570" s="232"/>
      <c r="CK570" s="232"/>
      <c r="CL570" s="232"/>
      <c r="CM570" s="232"/>
      <c r="CN570" s="232"/>
      <c r="CO570" s="232"/>
      <c r="CP570" s="232"/>
      <c r="CQ570" s="232"/>
      <c r="CR570" s="232"/>
      <c r="CS570" s="232"/>
      <c r="CT570" s="232"/>
      <c r="CU570" s="232"/>
      <c r="CV570" s="232"/>
      <c r="CW570" s="232"/>
      <c r="CX570" s="232"/>
      <c r="CY570" s="232"/>
      <c r="CZ570" s="232"/>
      <c r="DA570" s="232"/>
      <c r="DB570" s="232"/>
      <c r="DC570" s="232"/>
    </row>
    <row r="571" spans="1:107" ht="30" customHeight="1">
      <c r="A571" s="103">
        <v>562</v>
      </c>
      <c r="B571" s="103" t="s">
        <v>4431</v>
      </c>
      <c r="C571" s="103" t="s">
        <v>4448</v>
      </c>
      <c r="D571" s="103">
        <v>1</v>
      </c>
      <c r="E571" s="103" t="s">
        <v>4432</v>
      </c>
      <c r="F571" s="104" t="s">
        <v>6824</v>
      </c>
      <c r="G571" s="103" t="s">
        <v>4330</v>
      </c>
      <c r="H571" s="103" t="s">
        <v>4331</v>
      </c>
      <c r="I571" s="142" t="s">
        <v>4343</v>
      </c>
      <c r="J571" s="150" t="s">
        <v>6828</v>
      </c>
      <c r="K571" s="149" t="s">
        <v>6829</v>
      </c>
      <c r="L571" s="149" t="s">
        <v>6830</v>
      </c>
      <c r="M571" s="103" t="s">
        <v>4333</v>
      </c>
      <c r="N571" s="103" t="s">
        <v>4459</v>
      </c>
      <c r="O571" s="105">
        <v>46077</v>
      </c>
      <c r="P571" s="105" t="s">
        <v>4356</v>
      </c>
      <c r="Q571" s="105" t="s">
        <v>4356</v>
      </c>
      <c r="R571" s="105" t="s">
        <v>4356</v>
      </c>
      <c r="S571" s="105" t="s">
        <v>4356</v>
      </c>
      <c r="T571" s="105" t="s">
        <v>4356</v>
      </c>
      <c r="U571" s="105" t="s">
        <v>4356</v>
      </c>
      <c r="V571" s="105" t="s">
        <v>4356</v>
      </c>
      <c r="W571" s="105" t="s">
        <v>4356</v>
      </c>
      <c r="X571" s="105" t="s">
        <v>4356</v>
      </c>
      <c r="Y571" s="105" t="s">
        <v>4356</v>
      </c>
      <c r="Z571" s="105"/>
      <c r="AA571" s="105"/>
      <c r="AB571" s="149" t="s">
        <v>6828</v>
      </c>
      <c r="AC571" s="149" t="s">
        <v>6829</v>
      </c>
      <c r="AD571" s="149" t="s">
        <v>6830</v>
      </c>
      <c r="AE571" s="103" t="s">
        <v>4343</v>
      </c>
      <c r="AF571" s="103" t="s">
        <v>4333</v>
      </c>
      <c r="AG571" s="194">
        <v>13868.89</v>
      </c>
      <c r="AH571" s="194">
        <f>AG571+30000</f>
        <v>43868.89</v>
      </c>
      <c r="AI571" s="103" t="s">
        <v>4336</v>
      </c>
      <c r="AJ571" s="104" t="s">
        <v>4438</v>
      </c>
      <c r="AK571" s="103">
        <v>150959517</v>
      </c>
      <c r="AL571" s="103" t="s">
        <v>4338</v>
      </c>
      <c r="AM571" s="103" t="s">
        <v>4338</v>
      </c>
      <c r="AN571" s="103" t="s">
        <v>4339</v>
      </c>
      <c r="AO571" s="103"/>
      <c r="AP571" s="171" t="s">
        <v>6831</v>
      </c>
      <c r="AQ571" s="103" t="s">
        <v>4338</v>
      </c>
      <c r="AR571" s="103" t="s">
        <v>4338</v>
      </c>
      <c r="AS571" s="103" t="s">
        <v>4338</v>
      </c>
      <c r="AT571" s="103" t="s">
        <v>4338</v>
      </c>
      <c r="AU571" s="105">
        <v>46153</v>
      </c>
      <c r="AV571" s="103" t="s">
        <v>4338</v>
      </c>
      <c r="AW571" s="103" t="s">
        <v>4338</v>
      </c>
      <c r="AX571" s="105">
        <v>46182</v>
      </c>
      <c r="AY571" s="106">
        <v>46182</v>
      </c>
      <c r="AZ571" s="260" t="s">
        <v>4453</v>
      </c>
      <c r="BA571" s="245" t="s">
        <v>4454</v>
      </c>
      <c r="BB571" s="249" t="s">
        <v>4338</v>
      </c>
      <c r="BC571" s="220">
        <f t="shared" si="66"/>
        <v>105</v>
      </c>
      <c r="BD571" s="103" t="str">
        <f t="shared" si="67"/>
        <v>INDENIZAÇÃO</v>
      </c>
      <c r="BE571" s="103" t="str">
        <f t="shared" si="68"/>
        <v>NÃO</v>
      </c>
      <c r="BF571" s="250" t="s">
        <v>4357</v>
      </c>
      <c r="BG571" s="250" t="s">
        <v>4357</v>
      </c>
      <c r="BH571" s="250" t="s">
        <v>4357</v>
      </c>
      <c r="BI571" s="251" t="s">
        <v>5393</v>
      </c>
      <c r="BJ571" s="154"/>
      <c r="BK571" s="154"/>
      <c r="BL571" s="154"/>
      <c r="BM571" s="237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65">
        <v>563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6832</v>
      </c>
      <c r="G572" s="103" t="s">
        <v>4330</v>
      </c>
      <c r="H572" s="103" t="s">
        <v>4331</v>
      </c>
      <c r="I572" s="142" t="s">
        <v>4343</v>
      </c>
      <c r="J572" s="150" t="s">
        <v>6833</v>
      </c>
      <c r="K572" s="149" t="s">
        <v>4457</v>
      </c>
      <c r="L572" s="149" t="s">
        <v>6834</v>
      </c>
      <c r="M572" s="103" t="s">
        <v>4333</v>
      </c>
      <c r="N572" s="103" t="s">
        <v>4345</v>
      </c>
      <c r="O572" s="108"/>
      <c r="P572" s="108">
        <v>46031</v>
      </c>
      <c r="Q572" s="105" t="s">
        <v>4436</v>
      </c>
      <c r="R572" s="108">
        <v>46030</v>
      </c>
      <c r="S572" s="108">
        <v>46031</v>
      </c>
      <c r="T572" s="108">
        <v>46036</v>
      </c>
      <c r="U572" s="108">
        <v>46045</v>
      </c>
      <c r="V572" s="108" t="s">
        <v>4437</v>
      </c>
      <c r="W572" s="108" t="s">
        <v>4437</v>
      </c>
      <c r="X572" s="105">
        <v>46055</v>
      </c>
      <c r="Y572" s="105">
        <v>46057</v>
      </c>
      <c r="Z572" s="108"/>
      <c r="AA572" s="112"/>
      <c r="AB572" s="150" t="s">
        <v>6833</v>
      </c>
      <c r="AC572" s="149" t="s">
        <v>4457</v>
      </c>
      <c r="AD572" s="149" t="s">
        <v>6834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95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6"/>
        <v/>
      </c>
      <c r="BD572" s="103" t="str">
        <f t="shared" si="67"/>
        <v>AA</v>
      </c>
      <c r="BE572" s="103" t="str">
        <f t="shared" si="68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564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49" t="s">
        <v>6836</v>
      </c>
      <c r="K573" s="149" t="s">
        <v>6837</v>
      </c>
      <c r="L573" s="149" t="s">
        <v>6838</v>
      </c>
      <c r="M573" s="103" t="s">
        <v>4333</v>
      </c>
      <c r="N573" s="103" t="s">
        <v>4459</v>
      </c>
      <c r="O573" s="108">
        <v>46076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6836</v>
      </c>
      <c r="AC573" s="149" t="s">
        <v>6837</v>
      </c>
      <c r="AD573" s="149" t="s">
        <v>6838</v>
      </c>
      <c r="AE573" s="103" t="s">
        <v>4343</v>
      </c>
      <c r="AF573" s="103" t="s">
        <v>4333</v>
      </c>
      <c r="AG573" s="194">
        <v>26148.19</v>
      </c>
      <c r="AH573" s="194">
        <v>56148.19</v>
      </c>
      <c r="AI573" s="103" t="s">
        <v>4336</v>
      </c>
      <c r="AJ573" s="104" t="s">
        <v>4438</v>
      </c>
      <c r="AK573" s="103">
        <v>150959625</v>
      </c>
      <c r="AL573" s="103" t="s">
        <v>4338</v>
      </c>
      <c r="AM573" s="103" t="s">
        <v>4338</v>
      </c>
      <c r="AN573" s="103" t="s">
        <v>4339</v>
      </c>
      <c r="AO573" s="112"/>
      <c r="AP573" s="171" t="s">
        <v>6839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46118</v>
      </c>
      <c r="AV573" s="103" t="s">
        <v>4338</v>
      </c>
      <c r="AW573" s="103" t="s">
        <v>4338</v>
      </c>
      <c r="AX573" s="105">
        <v>46126</v>
      </c>
      <c r="AY573" s="106">
        <v>46126</v>
      </c>
      <c r="AZ573" s="106" t="s">
        <v>4453</v>
      </c>
      <c r="BA573" s="107" t="s">
        <v>4454</v>
      </c>
      <c r="BB573" s="136" t="s">
        <v>4338</v>
      </c>
      <c r="BC573" s="220">
        <f t="shared" si="66"/>
        <v>50</v>
      </c>
      <c r="BD573" s="103" t="str">
        <f t="shared" si="67"/>
        <v>INDENIZAÇÃO</v>
      </c>
      <c r="BE573" s="103" t="str">
        <f t="shared" si="68"/>
        <v>NÃO</v>
      </c>
      <c r="BF573" s="112" t="s">
        <v>4357</v>
      </c>
      <c r="BG573" s="112" t="s">
        <v>4357</v>
      </c>
      <c r="BH573" s="112" t="s">
        <v>4357</v>
      </c>
      <c r="BI573" s="109" t="s">
        <v>5393</v>
      </c>
      <c r="BJ573" s="109"/>
      <c r="BK573" s="109"/>
      <c r="BL573" s="109"/>
      <c r="BM573" s="239"/>
    </row>
    <row r="574" spans="1:107" ht="30" customHeight="1">
      <c r="A574" s="165">
        <v>565</v>
      </c>
      <c r="B574" s="103" t="s">
        <v>4431</v>
      </c>
      <c r="C574" s="103" t="s">
        <v>4340</v>
      </c>
      <c r="D574" s="103">
        <v>1</v>
      </c>
      <c r="E574" s="103" t="s">
        <v>4432</v>
      </c>
      <c r="F574" s="104" t="s">
        <v>6835</v>
      </c>
      <c r="G574" s="103" t="s">
        <v>4330</v>
      </c>
      <c r="H574" s="103" t="s">
        <v>4331</v>
      </c>
      <c r="I574" s="142" t="s">
        <v>4343</v>
      </c>
      <c r="J574" s="149" t="s">
        <v>6840</v>
      </c>
      <c r="K574" s="149" t="s">
        <v>6841</v>
      </c>
      <c r="L574" s="149" t="s">
        <v>6842</v>
      </c>
      <c r="M574" s="103" t="s">
        <v>4333</v>
      </c>
      <c r="N574" s="103" t="s">
        <v>4459</v>
      </c>
      <c r="O574" s="108">
        <v>46219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 t="s">
        <v>4356</v>
      </c>
      <c r="AA574" s="105"/>
      <c r="AB574" s="149" t="s">
        <v>6840</v>
      </c>
      <c r="AC574" s="149" t="s">
        <v>6841</v>
      </c>
      <c r="AD574" s="149" t="s">
        <v>6842</v>
      </c>
      <c r="AE574" s="103" t="s">
        <v>4343</v>
      </c>
      <c r="AF574" s="103" t="s">
        <v>4333</v>
      </c>
      <c r="AG574" s="194">
        <v>104927.75</v>
      </c>
      <c r="AH574" s="194">
        <v>104927.75</v>
      </c>
      <c r="AI574" s="103" t="s">
        <v>4336</v>
      </c>
      <c r="AJ574" s="104" t="s">
        <v>4438</v>
      </c>
      <c r="AK574" s="103">
        <v>160469000</v>
      </c>
      <c r="AL574" s="103"/>
      <c r="AM574" s="103"/>
      <c r="AN574" s="103"/>
      <c r="AO574" s="112"/>
      <c r="AP574" s="171"/>
      <c r="AQ574" s="103"/>
      <c r="AR574" s="103"/>
      <c r="AS574" s="103"/>
      <c r="AT574" s="103"/>
      <c r="AU574" s="105"/>
      <c r="AV574" s="103"/>
      <c r="AW574" s="103"/>
      <c r="AX574" s="105"/>
      <c r="AY574" s="106"/>
      <c r="AZ574" s="106"/>
      <c r="BA574" s="107"/>
      <c r="BB574" s="136"/>
      <c r="BC574" s="220"/>
      <c r="BD574" s="103"/>
      <c r="BE574" s="103"/>
      <c r="BF574" s="112"/>
      <c r="BG574" s="112"/>
      <c r="BH574" s="112"/>
      <c r="BI574" s="109"/>
      <c r="BJ574" s="109"/>
      <c r="BK574" s="109"/>
      <c r="BL574" s="109"/>
      <c r="BM574" s="239"/>
    </row>
    <row r="575" spans="1:107" ht="30" customHeight="1">
      <c r="A575" s="103">
        <v>566</v>
      </c>
      <c r="B575" s="103" t="s">
        <v>4431</v>
      </c>
      <c r="C575" s="103" t="s">
        <v>4448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49" t="s">
        <v>6844</v>
      </c>
      <c r="K575" s="149" t="s">
        <v>6845</v>
      </c>
      <c r="L575" s="149" t="s">
        <v>6846</v>
      </c>
      <c r="M575" s="103" t="s">
        <v>4333</v>
      </c>
      <c r="N575" s="103" t="s">
        <v>4345</v>
      </c>
      <c r="O575" s="105">
        <v>45996</v>
      </c>
      <c r="P575" s="105">
        <v>46002</v>
      </c>
      <c r="Q575" s="105" t="s">
        <v>4436</v>
      </c>
      <c r="R575" s="105">
        <v>45999</v>
      </c>
      <c r="S575" s="105">
        <v>46006</v>
      </c>
      <c r="T575" s="105">
        <v>46006</v>
      </c>
      <c r="U575" s="105">
        <v>46009</v>
      </c>
      <c r="V575" s="105" t="s">
        <v>4437</v>
      </c>
      <c r="W575" s="105" t="s">
        <v>4437</v>
      </c>
      <c r="X575" s="105">
        <v>46014</v>
      </c>
      <c r="Y575" s="105">
        <v>46020</v>
      </c>
      <c r="Z575" s="105"/>
      <c r="AA575" s="103"/>
      <c r="AB575" s="149" t="s">
        <v>6844</v>
      </c>
      <c r="AC575" s="149" t="s">
        <v>6845</v>
      </c>
      <c r="AD575" s="149" t="s">
        <v>6846</v>
      </c>
      <c r="AE575" s="103" t="s">
        <v>4343</v>
      </c>
      <c r="AF575" s="103" t="s">
        <v>4333</v>
      </c>
      <c r="AG575" s="194" t="s">
        <v>4356</v>
      </c>
      <c r="AH575" s="194" t="s">
        <v>4356</v>
      </c>
      <c r="AI575" s="103" t="s">
        <v>4355</v>
      </c>
      <c r="AJ575" s="104" t="s">
        <v>4438</v>
      </c>
      <c r="AK575" s="103"/>
      <c r="AL575" s="103"/>
      <c r="AM575" s="103"/>
      <c r="AN575" s="103"/>
      <c r="AO575" s="103"/>
      <c r="AP575" s="171"/>
      <c r="AQ575" s="103"/>
      <c r="AR575" s="103"/>
      <c r="AS575" s="103"/>
      <c r="AT575" s="103"/>
      <c r="AU575" s="105"/>
      <c r="AV575" s="112"/>
      <c r="AW575" s="103"/>
      <c r="AX575" s="105"/>
      <c r="AY575" s="166"/>
      <c r="AZ575" s="105"/>
      <c r="BA575" s="103"/>
      <c r="BB575" s="136"/>
      <c r="BC575" s="220" t="str">
        <f>IF(AY575-KD575=0,"",AY575-O575)</f>
        <v/>
      </c>
      <c r="BD575" s="103" t="str">
        <f>IF(AND(AI575&lt;&gt;"SIM",AI575="UH"),"AA","INDENIZAÇÃO")</f>
        <v>AA</v>
      </c>
      <c r="BE575" s="103" t="str">
        <f>IF(AND(AY575&lt;&gt;"AGUARDANDO",AY575&lt;&gt;"",N575="AUXÍLIO ALUGUEL ATÉ INDENIZAÇÃO"),"SIM","NÃO")</f>
        <v>NÃO</v>
      </c>
      <c r="BF575" s="140"/>
      <c r="BG575" s="140"/>
      <c r="BH575" s="140"/>
      <c r="BI575" s="140"/>
      <c r="BJ575" s="140"/>
      <c r="BK575" s="140"/>
      <c r="BL575" s="140"/>
      <c r="BM575" s="238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customHeight="1">
      <c r="A576" s="103">
        <v>567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6847</v>
      </c>
      <c r="G576" s="103" t="s">
        <v>4330</v>
      </c>
      <c r="H576" s="103" t="s">
        <v>4331</v>
      </c>
      <c r="I576" s="142" t="s">
        <v>4343</v>
      </c>
      <c r="J576" s="149" t="s">
        <v>6848</v>
      </c>
      <c r="K576" s="149" t="s">
        <v>6849</v>
      </c>
      <c r="L576" s="149" t="s">
        <v>6850</v>
      </c>
      <c r="M576" s="103" t="s">
        <v>4333</v>
      </c>
      <c r="N576" s="103" t="s">
        <v>4345</v>
      </c>
      <c r="O576" s="105"/>
      <c r="P576" s="105">
        <v>46176</v>
      </c>
      <c r="Q576" s="105" t="s">
        <v>4436</v>
      </c>
      <c r="R576" s="105">
        <v>46174</v>
      </c>
      <c r="S576" s="105">
        <v>46176</v>
      </c>
      <c r="T576" s="105">
        <v>46202</v>
      </c>
      <c r="U576" s="105">
        <v>46204</v>
      </c>
      <c r="V576" s="105" t="s">
        <v>4437</v>
      </c>
      <c r="W576" s="105" t="s">
        <v>4437</v>
      </c>
      <c r="X576" s="105">
        <v>46223</v>
      </c>
      <c r="Y576" s="105"/>
      <c r="Z576" s="105"/>
      <c r="AA576" s="103"/>
      <c r="AB576" s="149"/>
      <c r="AC576" s="149"/>
      <c r="AD576" s="149"/>
      <c r="AE576" s="103"/>
      <c r="AF576" s="103"/>
      <c r="AG576" s="194"/>
      <c r="AH576" s="194"/>
      <c r="AI576" s="103"/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/>
      <c r="BD576" s="103"/>
      <c r="BE576" s="103"/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568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6851</v>
      </c>
      <c r="G577" s="103" t="s">
        <v>4330</v>
      </c>
      <c r="H577" s="103" t="s">
        <v>4331</v>
      </c>
      <c r="I577" s="142" t="s">
        <v>4343</v>
      </c>
      <c r="J577" s="149" t="s">
        <v>6852</v>
      </c>
      <c r="K577" s="149" t="s">
        <v>6853</v>
      </c>
      <c r="L577" s="149" t="s">
        <v>6854</v>
      </c>
      <c r="M577" s="103" t="s">
        <v>4333</v>
      </c>
      <c r="N577" s="103" t="s">
        <v>4345</v>
      </c>
      <c r="O577" s="105">
        <v>45980</v>
      </c>
      <c r="P577" s="105">
        <v>45986</v>
      </c>
      <c r="Q577" s="108" t="s">
        <v>4436</v>
      </c>
      <c r="R577" s="108">
        <v>45985</v>
      </c>
      <c r="S577" s="108">
        <v>45986</v>
      </c>
      <c r="T577" s="108">
        <v>45987</v>
      </c>
      <c r="U577" s="108">
        <v>45992</v>
      </c>
      <c r="V577" s="105" t="s">
        <v>4437</v>
      </c>
      <c r="W577" s="105" t="s">
        <v>4437</v>
      </c>
      <c r="X577" s="105">
        <v>45999</v>
      </c>
      <c r="Y577" s="105">
        <v>46000</v>
      </c>
      <c r="Z577" s="105"/>
      <c r="AA577" s="103"/>
      <c r="AB577" s="149" t="s">
        <v>6852</v>
      </c>
      <c r="AC577" s="149" t="s">
        <v>6853</v>
      </c>
      <c r="AD577" s="149" t="s">
        <v>6854</v>
      </c>
      <c r="AE577" s="103" t="s">
        <v>4343</v>
      </c>
      <c r="AF577" s="103" t="s">
        <v>4333</v>
      </c>
      <c r="AG577" s="194" t="s">
        <v>4356</v>
      </c>
      <c r="AH577" s="194" t="s">
        <v>4356</v>
      </c>
      <c r="AI577" s="212" t="s">
        <v>4355</v>
      </c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 t="s">
        <v>4356</v>
      </c>
      <c r="AT577" s="103" t="s">
        <v>4356</v>
      </c>
      <c r="AU577" s="103" t="s">
        <v>4356</v>
      </c>
      <c r="AV577" s="103" t="s">
        <v>4356</v>
      </c>
      <c r="AW577" s="103"/>
      <c r="AX577" s="105"/>
      <c r="AY577" s="166"/>
      <c r="AZ577" s="105"/>
      <c r="BA577" s="103"/>
      <c r="BB577" s="136"/>
      <c r="BC577" s="220" t="str">
        <f>IF(AY577-KD577=0,"",AY577-O577)</f>
        <v/>
      </c>
      <c r="BD577" s="103" t="str">
        <f>IF(AND(AI577&lt;&gt;"SIM",AI577="UH"),"AA","INDENIZAÇÃO")</f>
        <v>AA</v>
      </c>
      <c r="BE577" s="103" t="str">
        <f>IF(AND(AY577&lt;&gt;"AGUARDANDO",AY577&lt;&gt;"",N577="AUXÍLIO ALUGUEL ATÉ INDENIZAÇÃO"),"SIM","NÃO")</f>
        <v>NÃO</v>
      </c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65">
        <v>569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6855</v>
      </c>
      <c r="G578" s="103" t="s">
        <v>4330</v>
      </c>
      <c r="H578" s="103" t="s">
        <v>4331</v>
      </c>
      <c r="I578" s="142" t="s">
        <v>4343</v>
      </c>
      <c r="J578" s="114" t="s">
        <v>6856</v>
      </c>
      <c r="K578" s="149" t="s">
        <v>6857</v>
      </c>
      <c r="L578" s="149" t="s">
        <v>6858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14" t="s">
        <v>6856</v>
      </c>
      <c r="AC578" s="149" t="s">
        <v>6857</v>
      </c>
      <c r="AD578" s="149" t="s">
        <v>6858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0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570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6859</v>
      </c>
      <c r="G579" s="103" t="s">
        <v>4351</v>
      </c>
      <c r="H579" s="103" t="s">
        <v>6483</v>
      </c>
      <c r="I579" s="153" t="s">
        <v>4332</v>
      </c>
      <c r="J579" s="149" t="s">
        <v>6860</v>
      </c>
      <c r="K579" s="149" t="s">
        <v>6861</v>
      </c>
      <c r="L579" s="149" t="s">
        <v>6862</v>
      </c>
      <c r="M579" s="103" t="s">
        <v>4333</v>
      </c>
      <c r="N579" s="103" t="s">
        <v>4459</v>
      </c>
      <c r="O579" s="105">
        <v>46066</v>
      </c>
      <c r="P579" s="105" t="s">
        <v>4356</v>
      </c>
      <c r="Q579" s="105" t="s">
        <v>4356</v>
      </c>
      <c r="R579" s="105" t="s">
        <v>4356</v>
      </c>
      <c r="S579" s="105" t="s">
        <v>4356</v>
      </c>
      <c r="T579" s="105" t="s">
        <v>4356</v>
      </c>
      <c r="U579" s="105" t="s">
        <v>4356</v>
      </c>
      <c r="V579" s="105" t="s">
        <v>4356</v>
      </c>
      <c r="W579" s="105" t="s">
        <v>4356</v>
      </c>
      <c r="X579" s="105" t="s">
        <v>4356</v>
      </c>
      <c r="Y579" s="105" t="s">
        <v>4356</v>
      </c>
      <c r="Z579" s="105"/>
      <c r="AA579" s="105"/>
      <c r="AB579" s="204" t="s">
        <v>6860</v>
      </c>
      <c r="AC579" s="204" t="s">
        <v>6861</v>
      </c>
      <c r="AD579" s="204" t="s">
        <v>6862</v>
      </c>
      <c r="AE579" s="218" t="s">
        <v>4332</v>
      </c>
      <c r="AF579" s="165" t="s">
        <v>4333</v>
      </c>
      <c r="AG579" s="208">
        <v>25687.49</v>
      </c>
      <c r="AH579" s="208">
        <v>25687.49</v>
      </c>
      <c r="AI579" s="165" t="s">
        <v>4336</v>
      </c>
      <c r="AJ579" s="104" t="s">
        <v>4438</v>
      </c>
      <c r="AK579" s="103">
        <v>150614018</v>
      </c>
      <c r="AL579" s="103" t="s">
        <v>4338</v>
      </c>
      <c r="AM579" s="103" t="s">
        <v>4338</v>
      </c>
      <c r="AN579" s="103" t="s">
        <v>4339</v>
      </c>
      <c r="AO579" s="103"/>
      <c r="AP579" s="171" t="s">
        <v>6863</v>
      </c>
      <c r="AQ579" s="112" t="s">
        <v>4338</v>
      </c>
      <c r="AR579" s="112" t="s">
        <v>4338</v>
      </c>
      <c r="AS579" s="103" t="s">
        <v>4338</v>
      </c>
      <c r="AT579" s="103" t="s">
        <v>4338</v>
      </c>
      <c r="AU579" s="105">
        <v>46153</v>
      </c>
      <c r="AV579" s="103" t="s">
        <v>4338</v>
      </c>
      <c r="AW579" s="103" t="s">
        <v>4338</v>
      </c>
      <c r="AX579" s="105">
        <v>46170</v>
      </c>
      <c r="AY579" s="106">
        <v>46170</v>
      </c>
      <c r="AZ579" s="106" t="s">
        <v>4453</v>
      </c>
      <c r="BA579" s="245" t="s">
        <v>4454</v>
      </c>
      <c r="BB579" s="249" t="s">
        <v>4338</v>
      </c>
      <c r="BC579" s="220">
        <f>IF(AY579-KD579=0,"",AY579-O579)</f>
        <v>104</v>
      </c>
      <c r="BD579" s="103" t="str">
        <f>IF(AND(AI579&lt;&gt;"SIM",AI579="UH"),"AA","INDENIZAÇÃO")</f>
        <v>INDENIZAÇÃO</v>
      </c>
      <c r="BE579" s="103" t="str">
        <f>IF(AND(AY579&lt;&gt;"AGUARDANDO",AY579&lt;&gt;"",N579="AUXÍLIO ALUGUEL ATÉ INDENIZAÇÃO"),"SIM","NÃO")</f>
        <v>NÃO</v>
      </c>
      <c r="BF579" s="250" t="s">
        <v>4357</v>
      </c>
      <c r="BG579" s="250" t="s">
        <v>4357</v>
      </c>
      <c r="BH579" s="250" t="s">
        <v>4357</v>
      </c>
      <c r="BI579" s="251" t="s">
        <v>5393</v>
      </c>
      <c r="BJ579" s="154"/>
      <c r="BK579" s="154"/>
      <c r="BL579" s="154"/>
      <c r="BM579" s="237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571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6864</v>
      </c>
      <c r="G580" s="103" t="s">
        <v>4330</v>
      </c>
      <c r="H580" s="103" t="s">
        <v>4331</v>
      </c>
      <c r="I580" s="246" t="s">
        <v>4343</v>
      </c>
      <c r="J580" s="149" t="s">
        <v>6865</v>
      </c>
      <c r="K580" s="149" t="s">
        <v>6866</v>
      </c>
      <c r="L580" s="149" t="s">
        <v>6867</v>
      </c>
      <c r="M580" s="103" t="s">
        <v>4333</v>
      </c>
      <c r="N580" s="103" t="s">
        <v>4345</v>
      </c>
      <c r="O580" s="105">
        <v>45996</v>
      </c>
      <c r="P580" s="105">
        <v>46002</v>
      </c>
      <c r="Q580" s="105" t="s">
        <v>4436</v>
      </c>
      <c r="R580" s="105">
        <v>45999</v>
      </c>
      <c r="S580" s="105">
        <v>46006</v>
      </c>
      <c r="T580" s="105">
        <v>46006</v>
      </c>
      <c r="U580" s="105">
        <v>46009</v>
      </c>
      <c r="V580" s="105" t="s">
        <v>4437</v>
      </c>
      <c r="W580" s="105" t="s">
        <v>4437</v>
      </c>
      <c r="X580" s="105">
        <v>46014</v>
      </c>
      <c r="Y580" s="105">
        <v>46031</v>
      </c>
      <c r="Z580" s="105"/>
      <c r="AA580" s="103"/>
      <c r="AB580" s="149" t="s">
        <v>6865</v>
      </c>
      <c r="AC580" s="149" t="s">
        <v>6866</v>
      </c>
      <c r="AD580" s="149" t="s">
        <v>6867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165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/>
      <c r="AT580" s="103"/>
      <c r="AU580" s="105"/>
      <c r="AV580" s="112"/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03">
        <v>572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6868</v>
      </c>
      <c r="G581" s="103" t="s">
        <v>4330</v>
      </c>
      <c r="H581" s="103" t="s">
        <v>4331</v>
      </c>
      <c r="I581" s="246" t="s">
        <v>4343</v>
      </c>
      <c r="J581" s="149" t="s">
        <v>6869</v>
      </c>
      <c r="K581" s="149" t="s">
        <v>6870</v>
      </c>
      <c r="L581" s="149" t="s">
        <v>6871</v>
      </c>
      <c r="M581" s="103" t="s">
        <v>4333</v>
      </c>
      <c r="N581" s="103" t="s">
        <v>4345</v>
      </c>
      <c r="O581" s="105"/>
      <c r="P581" s="105">
        <v>46176</v>
      </c>
      <c r="Q581" s="105" t="s">
        <v>4436</v>
      </c>
      <c r="R581" s="105">
        <v>46174</v>
      </c>
      <c r="S581" s="105">
        <v>46176</v>
      </c>
      <c r="T581" s="105">
        <v>46202</v>
      </c>
      <c r="U581" s="105">
        <v>46204</v>
      </c>
      <c r="V581" s="105" t="s">
        <v>4437</v>
      </c>
      <c r="W581" s="105" t="s">
        <v>4437</v>
      </c>
      <c r="X581" s="105">
        <v>46223</v>
      </c>
      <c r="Y581" s="105"/>
      <c r="Z581" s="105"/>
      <c r="AA581" s="103"/>
      <c r="AB581" s="149"/>
      <c r="AC581" s="149"/>
      <c r="AD581" s="149"/>
      <c r="AE581" s="103"/>
      <c r="AF581" s="103"/>
      <c r="AG581" s="194"/>
      <c r="AH581" s="194"/>
      <c r="AI581" s="165"/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65"/>
      <c r="AU581" s="105"/>
      <c r="AV581" s="112"/>
      <c r="AW581" s="103"/>
      <c r="AX581" s="105"/>
      <c r="AY581" s="166"/>
      <c r="AZ581" s="105"/>
      <c r="BA581" s="103"/>
      <c r="BB581" s="136"/>
      <c r="BC581" s="220"/>
      <c r="BD581" s="103"/>
      <c r="BE581" s="103"/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573</v>
      </c>
      <c r="B582" s="103" t="s">
        <v>4431</v>
      </c>
      <c r="C582" s="103" t="s">
        <v>4439</v>
      </c>
      <c r="D582" s="103">
        <v>1</v>
      </c>
      <c r="E582" s="103" t="s">
        <v>4432</v>
      </c>
      <c r="F582" s="104" t="s">
        <v>6872</v>
      </c>
      <c r="G582" s="103" t="s">
        <v>4330</v>
      </c>
      <c r="H582" s="103" t="s">
        <v>4331</v>
      </c>
      <c r="I582" s="103" t="s">
        <v>4343</v>
      </c>
      <c r="J582" s="149" t="s">
        <v>6873</v>
      </c>
      <c r="K582" s="149" t="s">
        <v>6874</v>
      </c>
      <c r="L582" s="149" t="s">
        <v>6875</v>
      </c>
      <c r="M582" s="103" t="s">
        <v>4333</v>
      </c>
      <c r="N582" s="103" t="s">
        <v>4345</v>
      </c>
      <c r="O582" s="108">
        <v>46134</v>
      </c>
      <c r="P582" s="105">
        <v>46147</v>
      </c>
      <c r="Q582" s="105" t="s">
        <v>4436</v>
      </c>
      <c r="R582" s="108">
        <v>46136</v>
      </c>
      <c r="S582" s="105">
        <v>46147</v>
      </c>
      <c r="T582" s="108">
        <v>46156</v>
      </c>
      <c r="U582" s="108">
        <v>46168</v>
      </c>
      <c r="V582" s="108" t="s">
        <v>4437</v>
      </c>
      <c r="W582" s="108" t="s">
        <v>4437</v>
      </c>
      <c r="X582" s="155">
        <v>46196</v>
      </c>
      <c r="Y582" s="108">
        <v>46210</v>
      </c>
      <c r="Z582" s="108"/>
      <c r="AA582" s="112"/>
      <c r="AB582" s="149" t="s">
        <v>6873</v>
      </c>
      <c r="AC582" s="149" t="s">
        <v>6874</v>
      </c>
      <c r="AD582" s="149" t="s">
        <v>6875</v>
      </c>
      <c r="AE582" s="103" t="s">
        <v>4343</v>
      </c>
      <c r="AF582" s="103" t="s">
        <v>4333</v>
      </c>
      <c r="AG582" s="194" t="s">
        <v>4356</v>
      </c>
      <c r="AH582" s="194" t="s">
        <v>4356</v>
      </c>
      <c r="AI582" s="103" t="s">
        <v>4355</v>
      </c>
      <c r="AJ582" s="104" t="s">
        <v>4438</v>
      </c>
      <c r="AK582" s="103"/>
      <c r="AL582" s="103"/>
      <c r="AM582" s="103"/>
      <c r="AN582" s="103"/>
      <c r="AO582" s="112"/>
      <c r="AP582" s="171"/>
      <c r="AQ582" s="112"/>
      <c r="AR582" s="112"/>
      <c r="AS582" s="112"/>
      <c r="AT582" s="195"/>
      <c r="AU582" s="112"/>
      <c r="AV582" s="112"/>
      <c r="AW582" s="112"/>
      <c r="AX582" s="112"/>
      <c r="AY582" s="166"/>
      <c r="AZ582" s="108"/>
      <c r="BA582" s="112"/>
      <c r="BB582" s="112"/>
      <c r="BC582" s="220" t="str">
        <f>IF(AY582-KD582=0,"",AY582-O582)</f>
        <v/>
      </c>
      <c r="BD582" s="103" t="str">
        <f>IF(AND(AI582&lt;&gt;"SIM",AI582="UH"),"AA","INDENIZAÇÃO")</f>
        <v>AA</v>
      </c>
      <c r="BE582" s="103" t="str">
        <f>IF(AND(AY582&lt;&gt;"AGUARDANDO",AY582&lt;&gt;"",N582="AUXÍLIO ALUGUEL ATÉ INDENIZAÇÃO"),"SIM","NÃO")</f>
        <v>NÃO</v>
      </c>
      <c r="BF582" s="112"/>
      <c r="BG582" s="147"/>
      <c r="BH582" s="147"/>
      <c r="BI582" s="112"/>
      <c r="BJ582" s="112"/>
      <c r="BK582" s="112"/>
      <c r="BL582" s="112"/>
      <c r="BM582" s="236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574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6876</v>
      </c>
      <c r="G583" s="103" t="s">
        <v>4330</v>
      </c>
      <c r="H583" s="103" t="s">
        <v>4331</v>
      </c>
      <c r="I583" s="103" t="s">
        <v>4343</v>
      </c>
      <c r="J583" s="114" t="s">
        <v>6877</v>
      </c>
      <c r="K583" s="149" t="s">
        <v>4457</v>
      </c>
      <c r="L583" s="149" t="s">
        <v>6878</v>
      </c>
      <c r="M583" s="103" t="s">
        <v>4333</v>
      </c>
      <c r="N583" s="103" t="s">
        <v>4345</v>
      </c>
      <c r="O583" s="108">
        <v>46119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46209</v>
      </c>
      <c r="Z583" s="108"/>
      <c r="AA583" s="112"/>
      <c r="AB583" s="114" t="s">
        <v>6877</v>
      </c>
      <c r="AC583" s="149" t="s">
        <v>4457</v>
      </c>
      <c r="AD583" s="149" t="s">
        <v>6878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95"/>
      <c r="AR583" s="112"/>
      <c r="AS583" s="112"/>
      <c r="AT583" s="112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65">
        <v>575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6879</v>
      </c>
      <c r="G584" s="103" t="s">
        <v>4330</v>
      </c>
      <c r="H584" s="103" t="s">
        <v>4331</v>
      </c>
      <c r="I584" s="103" t="s">
        <v>4343</v>
      </c>
      <c r="J584" s="114" t="s">
        <v>6880</v>
      </c>
      <c r="K584" s="149" t="s">
        <v>4457</v>
      </c>
      <c r="L584" s="149" t="s">
        <v>6881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46199</v>
      </c>
      <c r="Z584" s="108"/>
      <c r="AA584" s="112"/>
      <c r="AB584" s="114" t="s">
        <v>6880</v>
      </c>
      <c r="AC584" s="149" t="s">
        <v>4457</v>
      </c>
      <c r="AD584" s="149" t="s">
        <v>6881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12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</row>
    <row r="585" spans="1:107" ht="30" customHeight="1">
      <c r="A585" s="165">
        <v>576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6882</v>
      </c>
      <c r="G585" s="103" t="s">
        <v>4330</v>
      </c>
      <c r="H585" s="103" t="s">
        <v>4331</v>
      </c>
      <c r="I585" s="142" t="s">
        <v>4343</v>
      </c>
      <c r="J585" s="114" t="s">
        <v>6883</v>
      </c>
      <c r="K585" s="149" t="s">
        <v>6884</v>
      </c>
      <c r="L585" s="149" t="s">
        <v>6885</v>
      </c>
      <c r="M585" s="103" t="s">
        <v>4333</v>
      </c>
      <c r="N585" s="103" t="s">
        <v>4345</v>
      </c>
      <c r="O585" s="105">
        <v>45996</v>
      </c>
      <c r="P585" s="105">
        <v>46002</v>
      </c>
      <c r="Q585" s="105" t="s">
        <v>4436</v>
      </c>
      <c r="R585" s="105">
        <v>45999</v>
      </c>
      <c r="S585" s="105">
        <v>46006</v>
      </c>
      <c r="T585" s="105">
        <v>46006</v>
      </c>
      <c r="U585" s="105">
        <v>46009</v>
      </c>
      <c r="V585" s="105" t="s">
        <v>4437</v>
      </c>
      <c r="W585" s="105" t="s">
        <v>4437</v>
      </c>
      <c r="X585" s="105">
        <v>46014</v>
      </c>
      <c r="Y585" s="105">
        <v>46020</v>
      </c>
      <c r="Z585" s="105"/>
      <c r="AA585" s="103"/>
      <c r="AB585" s="114" t="s">
        <v>6883</v>
      </c>
      <c r="AC585" s="149" t="s">
        <v>6884</v>
      </c>
      <c r="AD585" s="149" t="s">
        <v>6885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03"/>
      <c r="AP585" s="171"/>
      <c r="AQ585" s="103"/>
      <c r="AR585" s="103"/>
      <c r="AS585" s="103"/>
      <c r="AT585" s="103"/>
      <c r="AU585" s="105"/>
      <c r="AV585" s="112"/>
      <c r="AW585" s="103"/>
      <c r="AX585" s="105"/>
      <c r="AY585" s="166"/>
      <c r="AZ585" s="105"/>
      <c r="BA585" s="103"/>
      <c r="BB585" s="136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40"/>
      <c r="BG585" s="140"/>
      <c r="BH585" s="140"/>
      <c r="BI585" s="140"/>
      <c r="BJ585" s="140"/>
      <c r="BK585" s="140"/>
      <c r="BL585" s="140"/>
      <c r="BM585" s="238"/>
    </row>
    <row r="586" spans="1:107" ht="30" customHeight="1">
      <c r="A586" s="165">
        <v>577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6886</v>
      </c>
      <c r="G586" s="103" t="s">
        <v>4330</v>
      </c>
      <c r="H586" s="103" t="s">
        <v>4331</v>
      </c>
      <c r="I586" s="142" t="s">
        <v>4343</v>
      </c>
      <c r="J586" s="149" t="s">
        <v>6887</v>
      </c>
      <c r="K586" s="149" t="s">
        <v>6888</v>
      </c>
      <c r="L586" s="149" t="s">
        <v>6889</v>
      </c>
      <c r="M586" s="103" t="s">
        <v>4333</v>
      </c>
      <c r="N586" s="103" t="s">
        <v>4459</v>
      </c>
      <c r="O586" s="105">
        <v>46129</v>
      </c>
      <c r="P586" s="105" t="s">
        <v>4356</v>
      </c>
      <c r="Q586" s="105" t="s">
        <v>4356</v>
      </c>
      <c r="R586" s="105" t="s">
        <v>4356</v>
      </c>
      <c r="S586" s="105" t="s">
        <v>4356</v>
      </c>
      <c r="T586" s="105" t="s">
        <v>4356</v>
      </c>
      <c r="U586" s="105" t="s">
        <v>4356</v>
      </c>
      <c r="V586" s="105" t="s">
        <v>4356</v>
      </c>
      <c r="W586" s="105" t="s">
        <v>4356</v>
      </c>
      <c r="X586" s="105" t="s">
        <v>4356</v>
      </c>
      <c r="Y586" s="105" t="s">
        <v>4356</v>
      </c>
      <c r="Z586" s="105"/>
      <c r="AA586" s="105"/>
      <c r="AB586" s="149" t="s">
        <v>6887</v>
      </c>
      <c r="AC586" s="149" t="s">
        <v>6888</v>
      </c>
      <c r="AD586" s="149" t="s">
        <v>6889</v>
      </c>
      <c r="AE586" s="103" t="s">
        <v>4343</v>
      </c>
      <c r="AF586" s="103" t="s">
        <v>4333</v>
      </c>
      <c r="AG586" s="194">
        <v>55469.48</v>
      </c>
      <c r="AH586" s="194">
        <v>60000</v>
      </c>
      <c r="AI586" s="103" t="s">
        <v>4336</v>
      </c>
      <c r="AJ586" s="104" t="s">
        <v>4438</v>
      </c>
      <c r="AK586" s="103">
        <v>151143591</v>
      </c>
      <c r="AL586" s="142" t="s">
        <v>4338</v>
      </c>
      <c r="AM586" s="103" t="s">
        <v>4338</v>
      </c>
      <c r="AN586" s="103" t="s">
        <v>4339</v>
      </c>
      <c r="AO586" s="103"/>
      <c r="AP586" s="277" t="s">
        <v>6890</v>
      </c>
      <c r="AQ586" s="143" t="s">
        <v>4338</v>
      </c>
      <c r="AR586" s="103" t="s">
        <v>4338</v>
      </c>
      <c r="AS586" s="103" t="s">
        <v>4338</v>
      </c>
      <c r="AT586" s="112" t="s">
        <v>4338</v>
      </c>
      <c r="AU586" s="105">
        <v>46226</v>
      </c>
      <c r="AV586" s="112" t="s">
        <v>4338</v>
      </c>
      <c r="AW586" s="109" t="s">
        <v>4453</v>
      </c>
      <c r="AX586" s="106"/>
      <c r="AY586" s="106"/>
      <c r="AZ586" s="106"/>
      <c r="BA586" s="107" t="s">
        <v>4330</v>
      </c>
      <c r="BB586" s="136"/>
      <c r="BC586" s="220" t="str">
        <f>IF(AY586-KD586=0,"",AY586-O586)</f>
        <v/>
      </c>
      <c r="BD586" s="103" t="str">
        <f>IF(AND(AI586&lt;&gt;"SIM",AI586="UH"),"AA","INDENIZAÇÃO")</f>
        <v>INDENIZAÇÃO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03">
        <v>578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6891</v>
      </c>
      <c r="G587" s="103" t="s">
        <v>4330</v>
      </c>
      <c r="H587" s="103" t="s">
        <v>4331</v>
      </c>
      <c r="I587" s="142" t="s">
        <v>4343</v>
      </c>
      <c r="J587" s="114" t="s">
        <v>6892</v>
      </c>
      <c r="K587" s="149" t="s">
        <v>6893</v>
      </c>
      <c r="L587" s="149" t="s">
        <v>6894</v>
      </c>
      <c r="M587" s="103" t="s">
        <v>4333</v>
      </c>
      <c r="N587" s="103" t="s">
        <v>4459</v>
      </c>
      <c r="O587" s="105">
        <v>46219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 t="s">
        <v>4356</v>
      </c>
      <c r="AA587" s="105" t="s">
        <v>4356</v>
      </c>
      <c r="AB587" s="114" t="s">
        <v>6892</v>
      </c>
      <c r="AC587" s="149" t="s">
        <v>6893</v>
      </c>
      <c r="AD587" s="149" t="s">
        <v>6894</v>
      </c>
      <c r="AE587" s="103" t="s">
        <v>4343</v>
      </c>
      <c r="AF587" s="103" t="s">
        <v>4333</v>
      </c>
      <c r="AG587" s="194">
        <v>60157.71</v>
      </c>
      <c r="AH587" s="194">
        <v>60157.71</v>
      </c>
      <c r="AI587" s="212" t="s">
        <v>4336</v>
      </c>
      <c r="AJ587" s="104" t="s">
        <v>4438</v>
      </c>
      <c r="AK587" s="103">
        <v>160469205</v>
      </c>
      <c r="AL587" s="103" t="s">
        <v>4337</v>
      </c>
      <c r="AM587" s="103" t="s">
        <v>4338</v>
      </c>
      <c r="AN587" s="103" t="s">
        <v>4368</v>
      </c>
      <c r="AO587" s="103"/>
      <c r="AP587" s="171"/>
      <c r="AQ587" s="103"/>
      <c r="AR587" s="103"/>
      <c r="AS587" s="103"/>
      <c r="AT587" s="103"/>
      <c r="AU587" s="103"/>
      <c r="AV587" s="103"/>
      <c r="AW587" s="103"/>
      <c r="AX587" s="105"/>
      <c r="AY587" s="166"/>
      <c r="AZ587" s="105"/>
      <c r="BA587" s="103"/>
      <c r="BB587" s="136"/>
      <c r="BC587" s="220"/>
      <c r="BD587" s="103"/>
      <c r="BE587" s="103"/>
      <c r="BF587" s="140"/>
      <c r="BG587" s="140"/>
      <c r="BH587" s="140"/>
      <c r="BI587" s="140"/>
      <c r="BJ587" s="140"/>
      <c r="BK587" s="140"/>
      <c r="BL587" s="140"/>
      <c r="BM587" s="238"/>
      <c r="BN587" s="232"/>
      <c r="BO587" s="232"/>
      <c r="BP587" s="232"/>
      <c r="BQ587" s="232"/>
      <c r="BR587" s="232"/>
      <c r="BS587" s="232"/>
      <c r="BT587" s="232"/>
      <c r="BU587" s="232"/>
      <c r="BV587" s="232"/>
      <c r="BW587" s="232"/>
      <c r="BX587" s="232"/>
      <c r="BY587" s="232"/>
      <c r="BZ587" s="232"/>
      <c r="CA587" s="232"/>
      <c r="CB587" s="232"/>
      <c r="CC587" s="232"/>
      <c r="CD587" s="232"/>
      <c r="CE587" s="232"/>
      <c r="CF587" s="232"/>
      <c r="CG587" s="232"/>
      <c r="CH587" s="232"/>
      <c r="CI587" s="232"/>
      <c r="CJ587" s="232"/>
      <c r="CK587" s="232"/>
      <c r="CL587" s="232"/>
      <c r="CM587" s="232"/>
      <c r="CN587" s="232"/>
      <c r="CO587" s="232"/>
      <c r="CP587" s="232"/>
      <c r="CQ587" s="232"/>
      <c r="CR587" s="232"/>
      <c r="CS587" s="232"/>
      <c r="CT587" s="232"/>
      <c r="CU587" s="232"/>
      <c r="CV587" s="232"/>
      <c r="CW587" s="232"/>
      <c r="CX587" s="232"/>
      <c r="CY587" s="232"/>
      <c r="CZ587" s="232"/>
      <c r="DA587" s="232"/>
      <c r="DB587" s="232"/>
      <c r="DC587" s="232"/>
    </row>
    <row r="588" spans="1:107" ht="30" customHeight="1">
      <c r="A588" s="103">
        <v>579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6895</v>
      </c>
      <c r="G588" s="103" t="s">
        <v>4330</v>
      </c>
      <c r="H588" s="103" t="s">
        <v>4331</v>
      </c>
      <c r="I588" s="142" t="s">
        <v>4343</v>
      </c>
      <c r="J588" s="149" t="s">
        <v>6896</v>
      </c>
      <c r="K588" s="149" t="s">
        <v>6897</v>
      </c>
      <c r="L588" s="149" t="s">
        <v>6898</v>
      </c>
      <c r="M588" s="103" t="s">
        <v>4333</v>
      </c>
      <c r="N588" s="103" t="s">
        <v>4345</v>
      </c>
      <c r="O588" s="105">
        <v>45980</v>
      </c>
      <c r="P588" s="105">
        <v>45986</v>
      </c>
      <c r="Q588" s="108" t="s">
        <v>4436</v>
      </c>
      <c r="R588" s="108">
        <v>45985</v>
      </c>
      <c r="S588" s="108">
        <v>45986</v>
      </c>
      <c r="T588" s="108">
        <v>45987</v>
      </c>
      <c r="U588" s="108">
        <v>45992</v>
      </c>
      <c r="V588" s="105" t="s">
        <v>4437</v>
      </c>
      <c r="W588" s="105" t="s">
        <v>4437</v>
      </c>
      <c r="X588" s="105">
        <v>45999</v>
      </c>
      <c r="Y588" s="105">
        <v>46000</v>
      </c>
      <c r="Z588" s="105"/>
      <c r="AA588" s="103"/>
      <c r="AB588" s="149" t="s">
        <v>6896</v>
      </c>
      <c r="AC588" s="149" t="s">
        <v>6897</v>
      </c>
      <c r="AD588" s="149" t="s">
        <v>6898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210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 t="s">
        <v>4356</v>
      </c>
      <c r="AT588" s="103" t="s">
        <v>4356</v>
      </c>
      <c r="AU588" s="103" t="s">
        <v>4356</v>
      </c>
      <c r="AV588" s="103" t="s">
        <v>4356</v>
      </c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580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6899</v>
      </c>
      <c r="G589" s="103" t="s">
        <v>4330</v>
      </c>
      <c r="H589" s="103" t="s">
        <v>4331</v>
      </c>
      <c r="I589" s="142" t="s">
        <v>4343</v>
      </c>
      <c r="J589" s="114" t="s">
        <v>6900</v>
      </c>
      <c r="K589" s="149" t="s">
        <v>6901</v>
      </c>
      <c r="L589" s="149" t="s">
        <v>6902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14" t="s">
        <v>6900</v>
      </c>
      <c r="AC589" s="149" t="s">
        <v>6901</v>
      </c>
      <c r="AD589" s="149" t="s">
        <v>6902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65">
        <v>581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/>
      <c r="L590" s="149" t="s">
        <v>6905</v>
      </c>
      <c r="M590" s="103" t="s">
        <v>4333</v>
      </c>
      <c r="N590" s="103" t="s">
        <v>4345</v>
      </c>
      <c r="O590" s="105"/>
      <c r="P590" s="105">
        <v>46176</v>
      </c>
      <c r="Q590" s="105" t="s">
        <v>4436</v>
      </c>
      <c r="R590" s="105">
        <v>46174</v>
      </c>
      <c r="S590" s="105">
        <v>46176</v>
      </c>
      <c r="T590" s="105">
        <v>46202</v>
      </c>
      <c r="U590" s="105">
        <v>46204</v>
      </c>
      <c r="V590" s="105" t="s">
        <v>4437</v>
      </c>
      <c r="W590" s="105" t="s">
        <v>4437</v>
      </c>
      <c r="X590" s="105">
        <v>46223</v>
      </c>
      <c r="Y590" s="105"/>
      <c r="Z590" s="105"/>
      <c r="AA590" s="103"/>
      <c r="AB590" s="114"/>
      <c r="AC590" s="149"/>
      <c r="AD590" s="149"/>
      <c r="AE590" s="103"/>
      <c r="AF590" s="103"/>
      <c r="AG590" s="194"/>
      <c r="AH590" s="194"/>
      <c r="AI590" s="210"/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>
        <v>582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6906</v>
      </c>
      <c r="G591" s="103" t="s">
        <v>4330</v>
      </c>
      <c r="H591" s="103" t="s">
        <v>4331</v>
      </c>
      <c r="I591" s="142" t="s">
        <v>4343</v>
      </c>
      <c r="J591" s="149" t="s">
        <v>6907</v>
      </c>
      <c r="K591" s="149" t="s">
        <v>6908</v>
      </c>
      <c r="L591" s="149" t="s">
        <v>6909</v>
      </c>
      <c r="M591" s="103" t="s">
        <v>4333</v>
      </c>
      <c r="N591" s="103" t="s">
        <v>4345</v>
      </c>
      <c r="O591" s="105">
        <v>45996</v>
      </c>
      <c r="P591" s="105">
        <v>46002</v>
      </c>
      <c r="Q591" s="105" t="s">
        <v>4436</v>
      </c>
      <c r="R591" s="105">
        <v>45999</v>
      </c>
      <c r="S591" s="105">
        <v>46006</v>
      </c>
      <c r="T591" s="105">
        <v>46006</v>
      </c>
      <c r="U591" s="105">
        <v>46009</v>
      </c>
      <c r="V591" s="105" t="s">
        <v>4437</v>
      </c>
      <c r="W591" s="105" t="s">
        <v>4437</v>
      </c>
      <c r="X591" s="105">
        <v>46014</v>
      </c>
      <c r="Y591" s="105">
        <v>46015</v>
      </c>
      <c r="Z591" s="105"/>
      <c r="AA591" s="103"/>
      <c r="AB591" s="149" t="s">
        <v>6907</v>
      </c>
      <c r="AC591" s="149" t="s">
        <v>6908</v>
      </c>
      <c r="AD591" s="149" t="s">
        <v>6909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165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5"/>
      <c r="AV591" s="112"/>
      <c r="AW591" s="103"/>
      <c r="AX591" s="105"/>
      <c r="AY591" s="166"/>
      <c r="AZ591" s="105"/>
      <c r="BA591" s="103"/>
      <c r="BB591" s="136"/>
      <c r="BC591" s="220" t="str">
        <f t="shared" ref="BC591:BC601" si="69">IF(AY591-KD591=0,"",AY591-O591)</f>
        <v/>
      </c>
      <c r="BD591" s="103" t="str">
        <f t="shared" ref="BD591:BD601" si="70">IF(AND(AI591&lt;&gt;"SIM",AI591="UH"),"AA","INDENIZAÇÃO")</f>
        <v>AA</v>
      </c>
      <c r="BE591" s="103" t="str">
        <f t="shared" ref="BE591:BE601" si="71"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583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6910</v>
      </c>
      <c r="G592" s="103" t="s">
        <v>4330</v>
      </c>
      <c r="H592" s="103" t="s">
        <v>4331</v>
      </c>
      <c r="I592" s="142" t="s">
        <v>4343</v>
      </c>
      <c r="J592" s="149" t="s">
        <v>6911</v>
      </c>
      <c r="K592" s="149" t="s">
        <v>6912</v>
      </c>
      <c r="L592" s="149" t="s">
        <v>6913</v>
      </c>
      <c r="M592" s="103" t="s">
        <v>4333</v>
      </c>
      <c r="N592" s="103" t="s">
        <v>4459</v>
      </c>
      <c r="O592" s="105">
        <v>46129</v>
      </c>
      <c r="P592" s="105" t="s">
        <v>4356</v>
      </c>
      <c r="Q592" s="105" t="s">
        <v>4356</v>
      </c>
      <c r="R592" s="105" t="s">
        <v>4356</v>
      </c>
      <c r="S592" s="105" t="s">
        <v>4356</v>
      </c>
      <c r="T592" s="105" t="s">
        <v>4356</v>
      </c>
      <c r="U592" s="105" t="s">
        <v>4356</v>
      </c>
      <c r="V592" s="105" t="s">
        <v>4356</v>
      </c>
      <c r="W592" s="105" t="s">
        <v>4356</v>
      </c>
      <c r="X592" s="105" t="s">
        <v>4356</v>
      </c>
      <c r="Y592" s="105" t="s">
        <v>4356</v>
      </c>
      <c r="Z592" s="105"/>
      <c r="AA592" s="105"/>
      <c r="AB592" s="204" t="s">
        <v>6911</v>
      </c>
      <c r="AC592" s="204" t="s">
        <v>6912</v>
      </c>
      <c r="AD592" s="204" t="s">
        <v>6913</v>
      </c>
      <c r="AE592" s="172" t="s">
        <v>4343</v>
      </c>
      <c r="AF592" s="165" t="s">
        <v>4333</v>
      </c>
      <c r="AG592" s="208">
        <v>17507.61</v>
      </c>
      <c r="AH592" s="208">
        <v>47507.61</v>
      </c>
      <c r="AI592" s="165" t="s">
        <v>4336</v>
      </c>
      <c r="AJ592" s="104" t="s">
        <v>4438</v>
      </c>
      <c r="AK592" s="103">
        <v>153982636</v>
      </c>
      <c r="AL592" s="103" t="s">
        <v>4338</v>
      </c>
      <c r="AM592" s="103" t="s">
        <v>4338</v>
      </c>
      <c r="AN592" s="103" t="s">
        <v>4339</v>
      </c>
      <c r="AO592" s="103"/>
      <c r="AP592" s="171" t="s">
        <v>6914</v>
      </c>
      <c r="AQ592" s="143" t="s">
        <v>4338</v>
      </c>
      <c r="AR592" s="103" t="s">
        <v>4338</v>
      </c>
      <c r="AS592" s="103" t="s">
        <v>4822</v>
      </c>
      <c r="AT592" s="107" t="s">
        <v>4453</v>
      </c>
      <c r="AU592" s="106"/>
      <c r="AV592" s="109"/>
      <c r="AW592" s="107"/>
      <c r="AX592" s="106"/>
      <c r="AY592" s="157"/>
      <c r="AZ592" s="106"/>
      <c r="BA592" s="107" t="s">
        <v>4330</v>
      </c>
      <c r="BB592" s="136"/>
      <c r="BC592" s="220" t="str">
        <f t="shared" si="69"/>
        <v/>
      </c>
      <c r="BD592" s="103" t="str">
        <f t="shared" si="70"/>
        <v>INDENIZAÇÃO</v>
      </c>
      <c r="BE592" s="103" t="str">
        <f t="shared" si="71"/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03">
        <v>584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45994</v>
      </c>
      <c r="P593" s="108">
        <v>46031</v>
      </c>
      <c r="Q593" s="105" t="s">
        <v>4436</v>
      </c>
      <c r="R593" s="108">
        <v>46030</v>
      </c>
      <c r="S593" s="108">
        <v>46031</v>
      </c>
      <c r="T593" s="108">
        <v>46036</v>
      </c>
      <c r="U593" s="108">
        <v>46045</v>
      </c>
      <c r="V593" s="108" t="s">
        <v>4437</v>
      </c>
      <c r="W593" s="108" t="s">
        <v>4437</v>
      </c>
      <c r="X593" s="105">
        <v>46055</v>
      </c>
      <c r="Y593" s="105">
        <v>46056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03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si="69"/>
        <v/>
      </c>
      <c r="BD593" s="103" t="str">
        <f t="shared" si="70"/>
        <v>AA</v>
      </c>
      <c r="BE593" s="103" t="str">
        <f t="shared" si="71"/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03">
        <v>585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46001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149" t="s">
        <v>6920</v>
      </c>
      <c r="AC594" s="149" t="s">
        <v>6921</v>
      </c>
      <c r="AD594" s="149" t="s">
        <v>6922</v>
      </c>
      <c r="AE594" s="103" t="s">
        <v>4343</v>
      </c>
      <c r="AF594" s="103" t="s">
        <v>4333</v>
      </c>
      <c r="AG594" s="194">
        <v>28530.17</v>
      </c>
      <c r="AH594" s="194">
        <f>AG594+30000</f>
        <v>58530.17</v>
      </c>
      <c r="AI594" s="103" t="s">
        <v>4336</v>
      </c>
      <c r="AJ594" s="104" t="s">
        <v>4438</v>
      </c>
      <c r="AK594" s="103">
        <v>146670504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6923</v>
      </c>
      <c r="AQ594" s="98" t="s">
        <v>4338</v>
      </c>
      <c r="AR594" s="103" t="s">
        <v>4338</v>
      </c>
      <c r="AS594" s="103" t="s">
        <v>4338</v>
      </c>
      <c r="AT594" s="103" t="s">
        <v>4338</v>
      </c>
      <c r="AU594" s="108">
        <v>46017</v>
      </c>
      <c r="AV594" s="112" t="s">
        <v>4338</v>
      </c>
      <c r="AW594" s="103" t="s">
        <v>4338</v>
      </c>
      <c r="AX594" s="166">
        <v>46024</v>
      </c>
      <c r="AY594" s="106">
        <v>46024</v>
      </c>
      <c r="AZ594" s="157" t="s">
        <v>4453</v>
      </c>
      <c r="BA594" s="107" t="s">
        <v>4454</v>
      </c>
      <c r="BB594" s="136" t="s">
        <v>4338</v>
      </c>
      <c r="BC594" s="220">
        <f t="shared" si="69"/>
        <v>23</v>
      </c>
      <c r="BD594" s="103" t="str">
        <f t="shared" si="70"/>
        <v>INDENIZAÇÃO</v>
      </c>
      <c r="BE594" s="103" t="str">
        <f t="shared" si="71"/>
        <v>NÃO</v>
      </c>
      <c r="BF594" s="140" t="s">
        <v>4357</v>
      </c>
      <c r="BG594" s="140" t="s">
        <v>4357</v>
      </c>
      <c r="BH594" s="140" t="s">
        <v>4357</v>
      </c>
      <c r="BI594" s="154" t="s">
        <v>5393</v>
      </c>
      <c r="BJ594" s="154"/>
      <c r="BK594" s="154"/>
      <c r="BL594" s="154"/>
      <c r="BM594" s="237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586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50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8"/>
      <c r="P595" s="105">
        <v>46031</v>
      </c>
      <c r="Q595" s="105" t="s">
        <v>4436</v>
      </c>
      <c r="R595" s="105">
        <v>46023</v>
      </c>
      <c r="S595" s="105">
        <v>46023</v>
      </c>
      <c r="T595" s="105">
        <v>46036</v>
      </c>
      <c r="U595" s="105">
        <v>46045</v>
      </c>
      <c r="V595" s="105" t="s">
        <v>4437</v>
      </c>
      <c r="W595" s="105" t="s">
        <v>4437</v>
      </c>
      <c r="X595" s="105">
        <v>46055</v>
      </c>
      <c r="Y595" s="105">
        <v>46056</v>
      </c>
      <c r="Z595" s="108"/>
      <c r="AA595" s="112"/>
      <c r="AB595" s="150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12"/>
      <c r="AP595" s="171"/>
      <c r="AQ595" s="112"/>
      <c r="AR595" s="112"/>
      <c r="AS595" s="112"/>
      <c r="AT595" s="112"/>
      <c r="AU595" s="112"/>
      <c r="AV595" s="112"/>
      <c r="AW595" s="112"/>
      <c r="AX595" s="112"/>
      <c r="AY595" s="166"/>
      <c r="AZ595" s="108"/>
      <c r="BA595" s="112"/>
      <c r="BB595" s="112"/>
      <c r="BC595" s="220" t="str">
        <f t="shared" si="69"/>
        <v/>
      </c>
      <c r="BD595" s="103" t="str">
        <f t="shared" si="70"/>
        <v>AA</v>
      </c>
      <c r="BE595" s="103" t="str">
        <f t="shared" si="71"/>
        <v>NÃO</v>
      </c>
      <c r="BF595" s="112"/>
      <c r="BG595" s="147"/>
      <c r="BH595" s="147"/>
      <c r="BI595" s="112"/>
      <c r="BJ595" s="112"/>
      <c r="BK595" s="112"/>
      <c r="BL595" s="112"/>
      <c r="BM595" s="236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65">
        <v>587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6928</v>
      </c>
      <c r="G596" s="103" t="s">
        <v>4330</v>
      </c>
      <c r="H596" s="103" t="s">
        <v>4331</v>
      </c>
      <c r="I596" s="142" t="s">
        <v>4343</v>
      </c>
      <c r="J596" s="114" t="s">
        <v>6929</v>
      </c>
      <c r="K596" s="149" t="s">
        <v>6930</v>
      </c>
      <c r="L596" s="149" t="s">
        <v>6931</v>
      </c>
      <c r="M596" s="103" t="s">
        <v>4333</v>
      </c>
      <c r="N596" s="103" t="s">
        <v>4345</v>
      </c>
      <c r="O596" s="105">
        <v>46091</v>
      </c>
      <c r="P596" s="108">
        <v>46090</v>
      </c>
      <c r="Q596" s="105" t="s">
        <v>4436</v>
      </c>
      <c r="R596" s="105">
        <v>46090</v>
      </c>
      <c r="S596" s="105">
        <v>46099</v>
      </c>
      <c r="T596" s="105">
        <v>46101</v>
      </c>
      <c r="U596" s="105">
        <v>46118</v>
      </c>
      <c r="V596" s="105" t="s">
        <v>4437</v>
      </c>
      <c r="W596" s="105" t="s">
        <v>4437</v>
      </c>
      <c r="X596" s="105">
        <v>46118</v>
      </c>
      <c r="Y596" s="105">
        <v>46118</v>
      </c>
      <c r="Z596" s="105"/>
      <c r="AA596" s="103"/>
      <c r="AB596" s="114" t="s">
        <v>6929</v>
      </c>
      <c r="AC596" s="149" t="s">
        <v>6930</v>
      </c>
      <c r="AD596" s="149" t="s">
        <v>6931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03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03"/>
      <c r="AW596" s="103"/>
      <c r="AX596" s="105"/>
      <c r="AY596" s="166"/>
      <c r="AZ596" s="105"/>
      <c r="BA596" s="103"/>
      <c r="BB596" s="136"/>
      <c r="BC596" s="220" t="str">
        <f t="shared" si="69"/>
        <v/>
      </c>
      <c r="BD596" s="103" t="str">
        <f t="shared" si="70"/>
        <v>AA</v>
      </c>
      <c r="BE596" s="103" t="str">
        <f t="shared" si="71"/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65">
        <v>588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6932</v>
      </c>
      <c r="G597" s="103" t="s">
        <v>4330</v>
      </c>
      <c r="H597" s="103" t="s">
        <v>4331</v>
      </c>
      <c r="I597" s="142" t="s">
        <v>4343</v>
      </c>
      <c r="J597" s="149" t="s">
        <v>6933</v>
      </c>
      <c r="K597" s="149" t="s">
        <v>6934</v>
      </c>
      <c r="L597" s="149" t="s">
        <v>6935</v>
      </c>
      <c r="M597" s="103" t="s">
        <v>4333</v>
      </c>
      <c r="N597" s="103" t="s">
        <v>4345</v>
      </c>
      <c r="O597" s="105">
        <v>45996</v>
      </c>
      <c r="P597" s="108">
        <v>46031</v>
      </c>
      <c r="Q597" s="105" t="s">
        <v>4436</v>
      </c>
      <c r="R597" s="108">
        <v>46030</v>
      </c>
      <c r="S597" s="108">
        <v>46031</v>
      </c>
      <c r="T597" s="108">
        <v>46036</v>
      </c>
      <c r="U597" s="108">
        <v>46045</v>
      </c>
      <c r="V597" s="108" t="s">
        <v>4437</v>
      </c>
      <c r="W597" s="108" t="s">
        <v>4437</v>
      </c>
      <c r="X597" s="105">
        <v>46055</v>
      </c>
      <c r="Y597" s="105">
        <v>46057</v>
      </c>
      <c r="Z597" s="105"/>
      <c r="AA597" s="103"/>
      <c r="AB597" s="149" t="s">
        <v>6933</v>
      </c>
      <c r="AC597" s="149" t="s">
        <v>6934</v>
      </c>
      <c r="AD597" s="149" t="s">
        <v>6935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03"/>
      <c r="AP597" s="171"/>
      <c r="AQ597" s="103"/>
      <c r="AR597" s="103"/>
      <c r="AS597" s="103"/>
      <c r="AT597" s="103"/>
      <c r="AU597" s="105"/>
      <c r="AV597" s="112"/>
      <c r="AW597" s="103"/>
      <c r="AX597" s="105"/>
      <c r="AY597" s="166"/>
      <c r="AZ597" s="105"/>
      <c r="BA597" s="103"/>
      <c r="BB597" s="136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589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45980</v>
      </c>
      <c r="P598" s="105">
        <v>45986</v>
      </c>
      <c r="Q598" s="108" t="s">
        <v>4436</v>
      </c>
      <c r="R598" s="108">
        <v>45985</v>
      </c>
      <c r="S598" s="108">
        <v>45986</v>
      </c>
      <c r="T598" s="108">
        <v>45987</v>
      </c>
      <c r="U598" s="108">
        <v>45992</v>
      </c>
      <c r="V598" s="105" t="s">
        <v>4437</v>
      </c>
      <c r="W598" s="105" t="s">
        <v>4437</v>
      </c>
      <c r="X598" s="105">
        <v>45999</v>
      </c>
      <c r="Y598" s="105">
        <v>46000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212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98"/>
      <c r="AR598" s="103"/>
      <c r="AS598" s="103" t="s">
        <v>4356</v>
      </c>
      <c r="AT598" s="103" t="s">
        <v>4356</v>
      </c>
      <c r="AU598" s="103" t="s">
        <v>4356</v>
      </c>
      <c r="AV598" s="103" t="s">
        <v>4356</v>
      </c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03">
        <v>590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4345</v>
      </c>
      <c r="O599" s="105">
        <v>45996</v>
      </c>
      <c r="P599" s="105">
        <v>46002</v>
      </c>
      <c r="Q599" s="105" t="s">
        <v>4436</v>
      </c>
      <c r="R599" s="105">
        <v>45999</v>
      </c>
      <c r="S599" s="105">
        <v>46006</v>
      </c>
      <c r="T599" s="105">
        <v>46006</v>
      </c>
      <c r="U599" s="105">
        <v>46009</v>
      </c>
      <c r="V599" s="105" t="s">
        <v>4437</v>
      </c>
      <c r="W599" s="105" t="s">
        <v>4437</v>
      </c>
      <c r="X599" s="105">
        <v>46014</v>
      </c>
      <c r="Y599" s="105">
        <v>46014</v>
      </c>
      <c r="Z599" s="105"/>
      <c r="AA599" s="103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65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03">
        <v>591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6944</v>
      </c>
      <c r="G600" s="103" t="s">
        <v>4330</v>
      </c>
      <c r="H600" s="103" t="s">
        <v>4331</v>
      </c>
      <c r="I600" s="142" t="s">
        <v>4343</v>
      </c>
      <c r="J600" s="149" t="s">
        <v>6945</v>
      </c>
      <c r="K600" s="149" t="s">
        <v>6946</v>
      </c>
      <c r="L600" s="149" t="s">
        <v>6947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8" t="s">
        <v>4437</v>
      </c>
      <c r="W600" s="108" t="s">
        <v>4437</v>
      </c>
      <c r="X600" s="105">
        <v>45999</v>
      </c>
      <c r="Y600" s="105">
        <v>46001</v>
      </c>
      <c r="Z600" s="105"/>
      <c r="AA600" s="103"/>
      <c r="AB600" s="149" t="s">
        <v>6945</v>
      </c>
      <c r="AC600" s="149" t="s">
        <v>6946</v>
      </c>
      <c r="AD600" s="149" t="s">
        <v>6947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592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6948</v>
      </c>
      <c r="G601" s="103" t="s">
        <v>4330</v>
      </c>
      <c r="H601" s="103" t="s">
        <v>4331</v>
      </c>
      <c r="I601" s="142" t="s">
        <v>4343</v>
      </c>
      <c r="J601" s="149" t="s">
        <v>6949</v>
      </c>
      <c r="K601" s="149" t="s">
        <v>6950</v>
      </c>
      <c r="L601" s="149" t="s">
        <v>6951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46020</v>
      </c>
      <c r="Z601" s="105"/>
      <c r="AA601" s="103"/>
      <c r="AB601" s="149" t="s">
        <v>6949</v>
      </c>
      <c r="AC601" s="149" t="s">
        <v>6950</v>
      </c>
      <c r="AD601" s="149" t="s">
        <v>6951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65">
        <v>593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6952</v>
      </c>
      <c r="G602" s="103" t="s">
        <v>4330</v>
      </c>
      <c r="H602" s="103" t="s">
        <v>4331</v>
      </c>
      <c r="I602" s="142" t="s">
        <v>4343</v>
      </c>
      <c r="J602" s="149" t="s">
        <v>6953</v>
      </c>
      <c r="K602" s="149" t="s">
        <v>6954</v>
      </c>
      <c r="L602" s="149" t="s">
        <v>6955</v>
      </c>
      <c r="M602" s="103" t="s">
        <v>4333</v>
      </c>
      <c r="N602" s="103" t="s">
        <v>4345</v>
      </c>
      <c r="O602" s="105"/>
      <c r="P602" s="105">
        <v>46176</v>
      </c>
      <c r="Q602" s="105" t="s">
        <v>4436</v>
      </c>
      <c r="R602" s="105">
        <v>46174</v>
      </c>
      <c r="S602" s="105">
        <v>46176</v>
      </c>
      <c r="T602" s="105">
        <v>46202</v>
      </c>
      <c r="U602" s="105">
        <v>46204</v>
      </c>
      <c r="V602" s="105" t="s">
        <v>4437</v>
      </c>
      <c r="W602" s="105" t="s">
        <v>4437</v>
      </c>
      <c r="X602" s="105">
        <v>46223</v>
      </c>
      <c r="Y602" s="105"/>
      <c r="Z602" s="105"/>
      <c r="AA602" s="103"/>
      <c r="AB602" s="149"/>
      <c r="AC602" s="149"/>
      <c r="AD602" s="149"/>
      <c r="AE602" s="103"/>
      <c r="AF602" s="103"/>
      <c r="AG602" s="194"/>
      <c r="AH602" s="194"/>
      <c r="AI602" s="165"/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/>
      <c r="BD602" s="103"/>
      <c r="BE602" s="103"/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65">
        <v>594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6956</v>
      </c>
      <c r="G603" s="103" t="s">
        <v>4330</v>
      </c>
      <c r="H603" s="103" t="s">
        <v>4331</v>
      </c>
      <c r="I603" s="142" t="s">
        <v>4343</v>
      </c>
      <c r="J603" s="149" t="s">
        <v>6957</v>
      </c>
      <c r="K603" s="149" t="s">
        <v>6958</v>
      </c>
      <c r="L603" s="149" t="s">
        <v>6959</v>
      </c>
      <c r="M603" s="103" t="s">
        <v>4333</v>
      </c>
      <c r="N603" s="103" t="s">
        <v>4345</v>
      </c>
      <c r="O603" s="105"/>
      <c r="P603" s="105">
        <v>46176</v>
      </c>
      <c r="Q603" s="105" t="s">
        <v>4436</v>
      </c>
      <c r="R603" s="105">
        <v>46174</v>
      </c>
      <c r="S603" s="105">
        <v>46176</v>
      </c>
      <c r="T603" s="105">
        <v>46202</v>
      </c>
      <c r="U603" s="105">
        <v>46204</v>
      </c>
      <c r="V603" s="105" t="s">
        <v>4437</v>
      </c>
      <c r="W603" s="105" t="s">
        <v>4437</v>
      </c>
      <c r="X603" s="105">
        <v>46223</v>
      </c>
      <c r="Y603" s="105"/>
      <c r="Z603" s="105"/>
      <c r="AA603" s="103"/>
      <c r="AB603" s="149"/>
      <c r="AC603" s="149"/>
      <c r="AD603" s="149"/>
      <c r="AE603" s="103"/>
      <c r="AF603" s="103"/>
      <c r="AG603" s="194"/>
      <c r="AH603" s="194"/>
      <c r="AI603" s="165"/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/>
      <c r="BD603" s="103"/>
      <c r="BE603" s="103"/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595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6960</v>
      </c>
      <c r="G604" s="103" t="s">
        <v>4330</v>
      </c>
      <c r="H604" s="103" t="s">
        <v>4331</v>
      </c>
      <c r="I604" s="142" t="s">
        <v>4343</v>
      </c>
      <c r="J604" s="149" t="s">
        <v>6961</v>
      </c>
      <c r="K604" s="149" t="s">
        <v>6962</v>
      </c>
      <c r="L604" s="149" t="s">
        <v>6963</v>
      </c>
      <c r="M604" s="103" t="s">
        <v>4333</v>
      </c>
      <c r="N604" s="103" t="s">
        <v>4345</v>
      </c>
      <c r="O604" s="105">
        <v>45996</v>
      </c>
      <c r="P604" s="105">
        <v>46106</v>
      </c>
      <c r="Q604" s="105" t="s">
        <v>4436</v>
      </c>
      <c r="R604" s="105">
        <v>46106</v>
      </c>
      <c r="S604" s="105">
        <v>46107</v>
      </c>
      <c r="T604" s="105">
        <v>46111</v>
      </c>
      <c r="U604" s="105">
        <v>46087</v>
      </c>
      <c r="V604" s="105" t="s">
        <v>4437</v>
      </c>
      <c r="W604" s="105" t="s">
        <v>4437</v>
      </c>
      <c r="X604" s="105">
        <v>46132</v>
      </c>
      <c r="Y604" s="108">
        <v>46135</v>
      </c>
      <c r="Z604" s="105"/>
      <c r="AA604" s="105"/>
      <c r="AB604" s="149" t="s">
        <v>6961</v>
      </c>
      <c r="AC604" s="149" t="s">
        <v>6962</v>
      </c>
      <c r="AD604" s="149" t="s">
        <v>6963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03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>IF(AY604-KD604=0,"",AY604-O604)</f>
        <v/>
      </c>
      <c r="BD604" s="103" t="str">
        <f>IF(AND(AI604&lt;&gt;"SIM",AI604="UH"),"AA","INDENIZAÇÃO")</f>
        <v>AA</v>
      </c>
      <c r="BE604" s="103" t="str">
        <f>IF(AND(AY604&lt;&gt;"AGUARDANDO",AY604&lt;&gt;"",N604="AUXÍLIO ALUGUEL ATÉ INDENIZAÇÃO"),"SIM","NÃO")</f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03">
        <v>596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6964</v>
      </c>
      <c r="G605" s="103" t="s">
        <v>4330</v>
      </c>
      <c r="H605" s="103" t="s">
        <v>4331</v>
      </c>
      <c r="I605" s="142" t="s">
        <v>4343</v>
      </c>
      <c r="J605" s="149" t="s">
        <v>6965</v>
      </c>
      <c r="K605" s="149" t="s">
        <v>6966</v>
      </c>
      <c r="L605" s="149" t="s">
        <v>6967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8"/>
      <c r="Z605" s="105"/>
      <c r="AA605" s="105"/>
      <c r="AB605" s="149"/>
      <c r="AC605" s="149"/>
      <c r="AD605" s="149"/>
      <c r="AE605" s="103"/>
      <c r="AF605" s="103"/>
      <c r="AG605" s="194"/>
      <c r="AH605" s="194"/>
      <c r="AI605" s="103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03">
        <v>597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6968</v>
      </c>
      <c r="G606" s="112" t="s">
        <v>4341</v>
      </c>
      <c r="H606" s="103" t="s">
        <v>6483</v>
      </c>
      <c r="I606" s="153" t="s">
        <v>4332</v>
      </c>
      <c r="J606" s="149" t="s">
        <v>6969</v>
      </c>
      <c r="K606" s="149" t="s">
        <v>6970</v>
      </c>
      <c r="L606" s="149" t="s">
        <v>6971</v>
      </c>
      <c r="M606" s="103" t="s">
        <v>4333</v>
      </c>
      <c r="N606" s="103" t="s">
        <v>4459</v>
      </c>
      <c r="O606" s="105">
        <v>46045</v>
      </c>
      <c r="P606" s="105" t="s">
        <v>4356</v>
      </c>
      <c r="Q606" s="105" t="s">
        <v>4356</v>
      </c>
      <c r="R606" s="105" t="s">
        <v>4356</v>
      </c>
      <c r="S606" s="105" t="s">
        <v>4356</v>
      </c>
      <c r="T606" s="105" t="s">
        <v>4356</v>
      </c>
      <c r="U606" s="105" t="s">
        <v>4356</v>
      </c>
      <c r="V606" s="105" t="s">
        <v>4356</v>
      </c>
      <c r="W606" s="105" t="s">
        <v>4356</v>
      </c>
      <c r="X606" s="105" t="s">
        <v>4356</v>
      </c>
      <c r="Y606" s="105" t="s">
        <v>4356</v>
      </c>
      <c r="Z606" s="105"/>
      <c r="AA606" s="105"/>
      <c r="AB606" s="149" t="s">
        <v>6969</v>
      </c>
      <c r="AC606" s="149" t="s">
        <v>6970</v>
      </c>
      <c r="AD606" s="149" t="s">
        <v>6971</v>
      </c>
      <c r="AE606" s="153" t="s">
        <v>4332</v>
      </c>
      <c r="AF606" s="103" t="s">
        <v>4333</v>
      </c>
      <c r="AG606" s="194">
        <v>23244.14</v>
      </c>
      <c r="AH606" s="194">
        <f>AG606+30000</f>
        <v>53244.14</v>
      </c>
      <c r="AI606" s="103" t="s">
        <v>4336</v>
      </c>
      <c r="AJ606" s="104" t="s">
        <v>4438</v>
      </c>
      <c r="AK606" s="103">
        <v>146670595</v>
      </c>
      <c r="AL606" s="103" t="s">
        <v>4338</v>
      </c>
      <c r="AM606" s="103" t="s">
        <v>4338</v>
      </c>
      <c r="AN606" s="103" t="s">
        <v>4339</v>
      </c>
      <c r="AO606" s="103"/>
      <c r="AP606" s="171" t="s">
        <v>6972</v>
      </c>
      <c r="AQ606" s="165" t="s">
        <v>4338</v>
      </c>
      <c r="AR606" s="103" t="s">
        <v>4338</v>
      </c>
      <c r="AS606" s="103" t="s">
        <v>4338</v>
      </c>
      <c r="AT606" s="103" t="s">
        <v>4338</v>
      </c>
      <c r="AU606" s="105">
        <v>46127</v>
      </c>
      <c r="AV606" s="103" t="s">
        <v>4338</v>
      </c>
      <c r="AW606" s="103" t="s">
        <v>4338</v>
      </c>
      <c r="AX606" s="105">
        <v>46139</v>
      </c>
      <c r="AY606" s="106">
        <v>46139</v>
      </c>
      <c r="AZ606" s="106" t="s">
        <v>4453</v>
      </c>
      <c r="BA606" s="107" t="s">
        <v>4454</v>
      </c>
      <c r="BB606" s="136" t="s">
        <v>4338</v>
      </c>
      <c r="BC606" s="220">
        <f t="shared" ref="BC606:BC669" si="72">IF(AY606-KD606=0,"",AY606-O606)</f>
        <v>94</v>
      </c>
      <c r="BD606" s="103" t="str">
        <f t="shared" ref="BD606:BD669" si="73">IF(AND(AI606&lt;&gt;"SIM",AI606="UH"),"AA","INDENIZAÇÃO")</f>
        <v>INDENIZAÇÃO</v>
      </c>
      <c r="BE606" s="103" t="str">
        <f t="shared" ref="BE606:BE669" si="74">IF(AND(AY606&lt;&gt;"AGUARDANDO",AY606&lt;&gt;"",N606="AUXÍLIO ALUGUEL ATÉ INDENIZAÇÃO"),"SIM","NÃO")</f>
        <v>NÃO</v>
      </c>
      <c r="BF606" s="140" t="s">
        <v>4357</v>
      </c>
      <c r="BG606" s="140" t="s">
        <v>4357</v>
      </c>
      <c r="BH606" s="140" t="s">
        <v>4357</v>
      </c>
      <c r="BI606" s="154" t="s">
        <v>5393</v>
      </c>
      <c r="BJ606" s="154"/>
      <c r="BK606" s="154"/>
      <c r="BL606" s="154"/>
      <c r="BM606" s="237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598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98" t="s">
        <v>4330</v>
      </c>
      <c r="H607" s="103" t="s">
        <v>4331</v>
      </c>
      <c r="I607" s="246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4459</v>
      </c>
      <c r="O607" s="105">
        <v>46045</v>
      </c>
      <c r="P607" s="105" t="s">
        <v>4356</v>
      </c>
      <c r="Q607" s="105" t="s">
        <v>4356</v>
      </c>
      <c r="R607" s="105" t="s">
        <v>4356</v>
      </c>
      <c r="S607" s="105" t="s">
        <v>4356</v>
      </c>
      <c r="T607" s="105" t="s">
        <v>4356</v>
      </c>
      <c r="U607" s="105" t="s">
        <v>4356</v>
      </c>
      <c r="V607" s="105" t="s">
        <v>4356</v>
      </c>
      <c r="W607" s="105" t="s">
        <v>4356</v>
      </c>
      <c r="X607" s="105" t="s">
        <v>4356</v>
      </c>
      <c r="Y607" s="105" t="s">
        <v>4356</v>
      </c>
      <c r="Z607" s="105"/>
      <c r="AA607" s="105"/>
      <c r="AB607" s="149" t="s">
        <v>6974</v>
      </c>
      <c r="AC607" s="149" t="s">
        <v>6975</v>
      </c>
      <c r="AD607" s="149" t="s">
        <v>6976</v>
      </c>
      <c r="AE607" s="103" t="s">
        <v>4343</v>
      </c>
      <c r="AF607" s="103" t="s">
        <v>4333</v>
      </c>
      <c r="AG607" s="194">
        <v>59568.93</v>
      </c>
      <c r="AH607" s="194">
        <v>60000</v>
      </c>
      <c r="AI607" s="103" t="s">
        <v>4336</v>
      </c>
      <c r="AJ607" s="104" t="s">
        <v>4438</v>
      </c>
      <c r="AK607" s="103">
        <v>146041017</v>
      </c>
      <c r="AL607" s="103" t="s">
        <v>4338</v>
      </c>
      <c r="AM607" s="103" t="s">
        <v>4338</v>
      </c>
      <c r="AN607" s="103" t="s">
        <v>4339</v>
      </c>
      <c r="AO607" s="103"/>
      <c r="AP607" s="171" t="s">
        <v>6977</v>
      </c>
      <c r="AQ607" s="165" t="s">
        <v>4338</v>
      </c>
      <c r="AR607" s="103" t="s">
        <v>4338</v>
      </c>
      <c r="AS607" s="103" t="s">
        <v>4338</v>
      </c>
      <c r="AT607" s="103" t="s">
        <v>4338</v>
      </c>
      <c r="AU607" s="105">
        <v>46084</v>
      </c>
      <c r="AV607" s="112" t="s">
        <v>4338</v>
      </c>
      <c r="AW607" s="112" t="s">
        <v>4338</v>
      </c>
      <c r="AX607" s="111">
        <v>46092</v>
      </c>
      <c r="AY607" s="106">
        <v>46092</v>
      </c>
      <c r="AZ607" s="157" t="s">
        <v>4453</v>
      </c>
      <c r="BA607" s="107" t="s">
        <v>4454</v>
      </c>
      <c r="BB607" s="136" t="s">
        <v>4338</v>
      </c>
      <c r="BC607" s="220">
        <f t="shared" si="72"/>
        <v>47</v>
      </c>
      <c r="BD607" s="103" t="str">
        <f t="shared" si="73"/>
        <v>INDENIZAÇÃO</v>
      </c>
      <c r="BE607" s="103" t="str">
        <f t="shared" si="74"/>
        <v>NÃO</v>
      </c>
      <c r="BF607" s="140" t="s">
        <v>4357</v>
      </c>
      <c r="BG607" s="140" t="s">
        <v>4357</v>
      </c>
      <c r="BH607" s="140" t="s">
        <v>4357</v>
      </c>
      <c r="BI607" s="154" t="s">
        <v>5393</v>
      </c>
      <c r="BJ607" s="154"/>
      <c r="BK607" s="154"/>
      <c r="BL607" s="154"/>
      <c r="BM607" s="237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65">
        <v>599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6978</v>
      </c>
      <c r="G608" s="112" t="s">
        <v>4341</v>
      </c>
      <c r="H608" s="103" t="s">
        <v>6483</v>
      </c>
      <c r="I608" s="153" t="s">
        <v>4332</v>
      </c>
      <c r="J608" s="149" t="s">
        <v>6979</v>
      </c>
      <c r="K608" s="149" t="s">
        <v>6980</v>
      </c>
      <c r="L608" s="149" t="s">
        <v>6981</v>
      </c>
      <c r="M608" s="103" t="s">
        <v>4333</v>
      </c>
      <c r="N608" s="103" t="s">
        <v>4459</v>
      </c>
      <c r="O608" s="105">
        <v>46051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6979</v>
      </c>
      <c r="AC608" s="149" t="s">
        <v>6980</v>
      </c>
      <c r="AD608" s="149" t="s">
        <v>6981</v>
      </c>
      <c r="AE608" s="153" t="s">
        <v>4332</v>
      </c>
      <c r="AF608" s="103" t="s">
        <v>4333</v>
      </c>
      <c r="AG608" s="194">
        <v>23021.02</v>
      </c>
      <c r="AH608" s="194">
        <v>23021.02</v>
      </c>
      <c r="AI608" s="103" t="s">
        <v>4336</v>
      </c>
      <c r="AJ608" s="104" t="s">
        <v>4438</v>
      </c>
      <c r="AK608" s="103">
        <v>148267124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6982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46153</v>
      </c>
      <c r="AV608" s="103" t="s">
        <v>4338</v>
      </c>
      <c r="AW608" s="103" t="s">
        <v>4338</v>
      </c>
      <c r="AX608" s="105">
        <v>46157</v>
      </c>
      <c r="AY608" s="106">
        <v>46157</v>
      </c>
      <c r="AZ608" s="106" t="s">
        <v>4453</v>
      </c>
      <c r="BA608" s="107" t="s">
        <v>4454</v>
      </c>
      <c r="BB608" s="136" t="s">
        <v>4338</v>
      </c>
      <c r="BC608" s="220">
        <f t="shared" si="72"/>
        <v>106</v>
      </c>
      <c r="BD608" s="103" t="str">
        <f t="shared" si="73"/>
        <v>INDENIZAÇÃO</v>
      </c>
      <c r="BE608" s="103" t="str">
        <f t="shared" si="74"/>
        <v>NÃO</v>
      </c>
      <c r="BF608" s="140" t="s">
        <v>4357</v>
      </c>
      <c r="BG608" s="140" t="s">
        <v>4357</v>
      </c>
      <c r="BH608" s="140" t="s">
        <v>4357</v>
      </c>
      <c r="BI608" s="154" t="s">
        <v>5393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65">
        <v>600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6983</v>
      </c>
      <c r="G609" s="98" t="s">
        <v>4330</v>
      </c>
      <c r="H609" s="103" t="s">
        <v>4331</v>
      </c>
      <c r="I609" s="246" t="s">
        <v>4343</v>
      </c>
      <c r="J609" s="149" t="s">
        <v>6984</v>
      </c>
      <c r="K609" s="149" t="s">
        <v>6985</v>
      </c>
      <c r="L609" s="149" t="s">
        <v>6986</v>
      </c>
      <c r="M609" s="103" t="s">
        <v>4333</v>
      </c>
      <c r="N609" s="103" t="s">
        <v>4459</v>
      </c>
      <c r="O609" s="105">
        <v>46064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6984</v>
      </c>
      <c r="AC609" s="149" t="s">
        <v>6985</v>
      </c>
      <c r="AD609" s="149" t="s">
        <v>6986</v>
      </c>
      <c r="AE609" s="103" t="s">
        <v>4343</v>
      </c>
      <c r="AF609" s="103" t="s">
        <v>4333</v>
      </c>
      <c r="AG609" s="194">
        <v>26293.73</v>
      </c>
      <c r="AH609" s="194">
        <v>56293.73</v>
      </c>
      <c r="AI609" s="103" t="s">
        <v>4336</v>
      </c>
      <c r="AJ609" s="104" t="s">
        <v>4438</v>
      </c>
      <c r="AK609" s="103">
        <v>150614301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6987</v>
      </c>
      <c r="AQ609" s="103" t="s">
        <v>4338</v>
      </c>
      <c r="AR609" s="103" t="s">
        <v>4338</v>
      </c>
      <c r="AS609" s="103" t="s">
        <v>4338</v>
      </c>
      <c r="AT609" s="165" t="s">
        <v>4338</v>
      </c>
      <c r="AU609" s="105">
        <v>46127</v>
      </c>
      <c r="AV609" s="103" t="s">
        <v>4338</v>
      </c>
      <c r="AW609" s="165" t="s">
        <v>4338</v>
      </c>
      <c r="AX609" s="105">
        <v>46139</v>
      </c>
      <c r="AY609" s="106">
        <v>46139</v>
      </c>
      <c r="AZ609" s="106" t="s">
        <v>4453</v>
      </c>
      <c r="BA609" s="107" t="s">
        <v>4454</v>
      </c>
      <c r="BB609" s="136" t="s">
        <v>4338</v>
      </c>
      <c r="BC609" s="220">
        <f t="shared" si="72"/>
        <v>75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601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6988</v>
      </c>
      <c r="G610" s="103" t="s">
        <v>4330</v>
      </c>
      <c r="H610" s="103" t="s">
        <v>4331</v>
      </c>
      <c r="I610" s="142" t="s">
        <v>4343</v>
      </c>
      <c r="J610" s="149" t="s">
        <v>6989</v>
      </c>
      <c r="K610" s="149" t="s">
        <v>6990</v>
      </c>
      <c r="L610" s="149" t="s">
        <v>6991</v>
      </c>
      <c r="M610" s="103" t="s">
        <v>4333</v>
      </c>
      <c r="N610" s="103" t="s">
        <v>4345</v>
      </c>
      <c r="O610" s="105">
        <v>45996</v>
      </c>
      <c r="P610" s="105">
        <v>46002</v>
      </c>
      <c r="Q610" s="105" t="s">
        <v>4436</v>
      </c>
      <c r="R610" s="105">
        <v>45999</v>
      </c>
      <c r="S610" s="105">
        <v>46006</v>
      </c>
      <c r="T610" s="105">
        <v>46006</v>
      </c>
      <c r="U610" s="105">
        <v>46009</v>
      </c>
      <c r="V610" s="105" t="s">
        <v>4437</v>
      </c>
      <c r="W610" s="105" t="s">
        <v>4437</v>
      </c>
      <c r="X610" s="105">
        <v>46014</v>
      </c>
      <c r="Y610" s="105">
        <v>46017</v>
      </c>
      <c r="Z610" s="105"/>
      <c r="AA610" s="103"/>
      <c r="AB610" s="149" t="s">
        <v>6989</v>
      </c>
      <c r="AC610" s="149" t="s">
        <v>6990</v>
      </c>
      <c r="AD610" s="149" t="s">
        <v>6991</v>
      </c>
      <c r="AE610" s="103" t="s">
        <v>4343</v>
      </c>
      <c r="AF610" s="103" t="s">
        <v>4333</v>
      </c>
      <c r="AG610" s="194" t="s">
        <v>4356</v>
      </c>
      <c r="AH610" s="194" t="s">
        <v>4356</v>
      </c>
      <c r="AI610" s="103" t="s">
        <v>4355</v>
      </c>
      <c r="AJ610" s="104" t="s">
        <v>4438</v>
      </c>
      <c r="AK610" s="103"/>
      <c r="AL610" s="103"/>
      <c r="AM610" s="103"/>
      <c r="AN610" s="103"/>
      <c r="AO610" s="103"/>
      <c r="AP610" s="171"/>
      <c r="AQ610" s="103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 t="str">
        <f t="shared" si="72"/>
        <v/>
      </c>
      <c r="BD610" s="103" t="str">
        <f t="shared" si="73"/>
        <v>AA</v>
      </c>
      <c r="BE610" s="103" t="str">
        <f t="shared" si="74"/>
        <v>NÃO</v>
      </c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03">
        <v>602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6992</v>
      </c>
      <c r="G611" s="103" t="s">
        <v>4330</v>
      </c>
      <c r="H611" s="103" t="s">
        <v>4331</v>
      </c>
      <c r="I611" s="142" t="s">
        <v>6993</v>
      </c>
      <c r="J611" s="149" t="s">
        <v>6994</v>
      </c>
      <c r="K611" s="149" t="s">
        <v>6995</v>
      </c>
      <c r="L611" s="149" t="s">
        <v>6996</v>
      </c>
      <c r="M611" s="103" t="s">
        <v>4333</v>
      </c>
      <c r="N611" s="103" t="s">
        <v>4345</v>
      </c>
      <c r="O611" s="105">
        <v>45980</v>
      </c>
      <c r="P611" s="105">
        <v>45986</v>
      </c>
      <c r="Q611" s="108" t="s">
        <v>4436</v>
      </c>
      <c r="R611" s="108">
        <v>45985</v>
      </c>
      <c r="S611" s="108">
        <v>45986</v>
      </c>
      <c r="T611" s="108">
        <v>45987</v>
      </c>
      <c r="U611" s="108">
        <v>45992</v>
      </c>
      <c r="V611" s="105" t="s">
        <v>4437</v>
      </c>
      <c r="W611" s="105" t="s">
        <v>4437</v>
      </c>
      <c r="X611" s="105">
        <v>45999</v>
      </c>
      <c r="Y611" s="105">
        <v>46002</v>
      </c>
      <c r="Z611" s="105"/>
      <c r="AA611" s="103"/>
      <c r="AB611" s="149" t="s">
        <v>6994</v>
      </c>
      <c r="AC611" s="149" t="s">
        <v>6995</v>
      </c>
      <c r="AD611" s="149" t="s">
        <v>6996</v>
      </c>
      <c r="AE611" s="103" t="s">
        <v>4343</v>
      </c>
      <c r="AF611" s="103" t="s">
        <v>4333</v>
      </c>
      <c r="AG611" s="194" t="s">
        <v>4356</v>
      </c>
      <c r="AH611" s="194" t="s">
        <v>4356</v>
      </c>
      <c r="AI611" s="212" t="s">
        <v>4355</v>
      </c>
      <c r="AJ611" s="104" t="s">
        <v>4438</v>
      </c>
      <c r="AK611" s="103"/>
      <c r="AL611" s="103"/>
      <c r="AM611" s="103"/>
      <c r="AN611" s="103"/>
      <c r="AO611" s="103"/>
      <c r="AP611" s="171"/>
      <c r="AQ611" s="103"/>
      <c r="AR611" s="103"/>
      <c r="AS611" s="103" t="s">
        <v>4356</v>
      </c>
      <c r="AT611" s="103" t="s">
        <v>4356</v>
      </c>
      <c r="AU611" s="103" t="s">
        <v>4356</v>
      </c>
      <c r="AV611" s="103" t="s">
        <v>4356</v>
      </c>
      <c r="AW611" s="103"/>
      <c r="AX611" s="105"/>
      <c r="AY611" s="166"/>
      <c r="AZ611" s="105"/>
      <c r="BA611" s="103"/>
      <c r="BB611" s="136"/>
      <c r="BC611" s="220" t="str">
        <f t="shared" si="72"/>
        <v/>
      </c>
      <c r="BD611" s="103" t="str">
        <f t="shared" si="73"/>
        <v>AA</v>
      </c>
      <c r="BE611" s="103" t="str">
        <f t="shared" si="74"/>
        <v>NÃO</v>
      </c>
      <c r="BF611" s="140"/>
      <c r="BG611" s="140"/>
      <c r="BH611" s="140"/>
      <c r="BI611" s="140"/>
      <c r="BJ611" s="140"/>
      <c r="BK611" s="140"/>
      <c r="BL611" s="140"/>
      <c r="BM611" s="238"/>
    </row>
    <row r="612" spans="1:107" ht="30" customHeight="1">
      <c r="A612" s="103">
        <v>603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45980</v>
      </c>
      <c r="P612" s="105">
        <v>45986</v>
      </c>
      <c r="Q612" s="108" t="s">
        <v>4436</v>
      </c>
      <c r="R612" s="108">
        <v>45985</v>
      </c>
      <c r="S612" s="108">
        <v>45986</v>
      </c>
      <c r="T612" s="108">
        <v>45987</v>
      </c>
      <c r="U612" s="108">
        <v>45992</v>
      </c>
      <c r="V612" s="108" t="s">
        <v>4437</v>
      </c>
      <c r="W612" s="108" t="s">
        <v>4437</v>
      </c>
      <c r="X612" s="105">
        <v>45999</v>
      </c>
      <c r="Y612" s="105">
        <v>46000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210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 t="s">
        <v>4356</v>
      </c>
      <c r="AT612" s="103" t="s">
        <v>4356</v>
      </c>
      <c r="AU612" s="103" t="s">
        <v>4356</v>
      </c>
      <c r="AV612" s="103" t="s">
        <v>4356</v>
      </c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</row>
    <row r="613" spans="1:107" ht="30" customHeight="1">
      <c r="A613" s="103">
        <v>604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6993</v>
      </c>
      <c r="J613" s="149" t="s">
        <v>7002</v>
      </c>
      <c r="K613" s="149" t="s">
        <v>7003</v>
      </c>
      <c r="L613" s="149" t="s">
        <v>7004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46000</v>
      </c>
      <c r="Z613" s="108"/>
      <c r="AA613" s="112"/>
      <c r="AB613" s="149" t="s">
        <v>7002</v>
      </c>
      <c r="AC613" s="149" t="s">
        <v>7003</v>
      </c>
      <c r="AD613" s="149" t="s">
        <v>7004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0" t="s">
        <v>4355</v>
      </c>
      <c r="AJ613" s="104" t="s">
        <v>4438</v>
      </c>
      <c r="AK613" s="103"/>
      <c r="AL613" s="103"/>
      <c r="AM613" s="103"/>
      <c r="AN613" s="103"/>
      <c r="AO613" s="112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12"/>
      <c r="AX613" s="112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65">
        <v>605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7005</v>
      </c>
      <c r="G614" s="103" t="s">
        <v>4330</v>
      </c>
      <c r="H614" s="103" t="s">
        <v>4331</v>
      </c>
      <c r="I614" s="142" t="s">
        <v>4343</v>
      </c>
      <c r="J614" s="149" t="s">
        <v>7006</v>
      </c>
      <c r="K614" s="149" t="s">
        <v>7007</v>
      </c>
      <c r="L614" s="149" t="s">
        <v>7008</v>
      </c>
      <c r="M614" s="103" t="s">
        <v>4333</v>
      </c>
      <c r="N614" s="103" t="s">
        <v>4459</v>
      </c>
      <c r="O614" s="105">
        <v>45980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204" t="s">
        <v>7006</v>
      </c>
      <c r="AC614" s="204" t="s">
        <v>7007</v>
      </c>
      <c r="AD614" s="204" t="s">
        <v>7008</v>
      </c>
      <c r="AE614" s="165" t="s">
        <v>4343</v>
      </c>
      <c r="AF614" s="165" t="s">
        <v>4333</v>
      </c>
      <c r="AG614" s="208">
        <v>30282.02</v>
      </c>
      <c r="AH614" s="208">
        <v>60000</v>
      </c>
      <c r="AI614" s="165" t="s">
        <v>4336</v>
      </c>
      <c r="AJ614" s="104" t="s">
        <v>4438</v>
      </c>
      <c r="AK614" s="103">
        <v>146670767</v>
      </c>
      <c r="AL614" s="103" t="s">
        <v>4338</v>
      </c>
      <c r="AM614" s="103" t="s">
        <v>4338</v>
      </c>
      <c r="AN614" s="103" t="s">
        <v>4339</v>
      </c>
      <c r="AO614" s="112"/>
      <c r="AP614" s="171" t="s">
        <v>7009</v>
      </c>
      <c r="AQ614" s="103" t="s">
        <v>4338</v>
      </c>
      <c r="AR614" s="103" t="s">
        <v>4338</v>
      </c>
      <c r="AS614" s="103" t="s">
        <v>4338</v>
      </c>
      <c r="AT614" s="103" t="s">
        <v>4338</v>
      </c>
      <c r="AU614" s="105">
        <v>46020</v>
      </c>
      <c r="AV614" s="112" t="s">
        <v>4338</v>
      </c>
      <c r="AW614" s="103" t="s">
        <v>4338</v>
      </c>
      <c r="AX614" s="166">
        <v>46024</v>
      </c>
      <c r="AY614" s="157">
        <v>46024</v>
      </c>
      <c r="AZ614" s="157" t="s">
        <v>4453</v>
      </c>
      <c r="BA614" s="107" t="s">
        <v>4454</v>
      </c>
      <c r="BB614" s="136" t="s">
        <v>4338</v>
      </c>
      <c r="BC614" s="220">
        <f t="shared" si="72"/>
        <v>44</v>
      </c>
      <c r="BD614" s="103" t="str">
        <f t="shared" si="73"/>
        <v>INDENIZAÇÃO</v>
      </c>
      <c r="BE614" s="103" t="str">
        <f t="shared" si="74"/>
        <v>NÃO</v>
      </c>
      <c r="BF614" s="140" t="s">
        <v>4357</v>
      </c>
      <c r="BG614" s="140" t="s">
        <v>4357</v>
      </c>
      <c r="BH614" s="140" t="s">
        <v>4357</v>
      </c>
      <c r="BI614" s="154" t="s">
        <v>5393</v>
      </c>
      <c r="BJ614" s="154"/>
      <c r="BK614" s="154"/>
      <c r="BL614" s="154"/>
      <c r="BM614" s="237"/>
    </row>
    <row r="615" spans="1:107" ht="30" customHeight="1">
      <c r="A615" s="165">
        <v>606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4343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8" t="s">
        <v>4437</v>
      </c>
      <c r="W615" s="108" t="s">
        <v>4437</v>
      </c>
      <c r="X615" s="105">
        <v>45999</v>
      </c>
      <c r="Y615" s="105">
        <v>46003</v>
      </c>
      <c r="Z615" s="105"/>
      <c r="AA615" s="103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2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03"/>
      <c r="AX615" s="105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</row>
    <row r="616" spans="1:107" ht="30" customHeight="1">
      <c r="A616" s="165">
        <v>607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7014</v>
      </c>
      <c r="G616" s="103" t="s">
        <v>4330</v>
      </c>
      <c r="H616" s="103" t="s">
        <v>4331</v>
      </c>
      <c r="I616" s="142" t="s">
        <v>4343</v>
      </c>
      <c r="J616" s="114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46000</v>
      </c>
      <c r="Z616" s="105"/>
      <c r="AA616" s="103"/>
      <c r="AB616" s="114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0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72"/>
        <v/>
      </c>
      <c r="BD616" s="103" t="str">
        <f t="shared" si="73"/>
        <v>AA</v>
      </c>
      <c r="BE616" s="103" t="str">
        <f t="shared" si="74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customHeight="1">
      <c r="A617" s="103">
        <v>608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4351</v>
      </c>
      <c r="H617" s="103" t="s">
        <v>4351</v>
      </c>
      <c r="I617" s="153" t="s">
        <v>4332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4459</v>
      </c>
      <c r="O617" s="105">
        <v>46206</v>
      </c>
      <c r="P617" s="105" t="s">
        <v>4356</v>
      </c>
      <c r="Q617" s="105" t="s">
        <v>4356</v>
      </c>
      <c r="R617" s="105" t="s">
        <v>4356</v>
      </c>
      <c r="S617" s="105" t="s">
        <v>4356</v>
      </c>
      <c r="T617" s="105" t="s">
        <v>4356</v>
      </c>
      <c r="U617" s="105" t="s">
        <v>4356</v>
      </c>
      <c r="V617" s="105" t="s">
        <v>4356</v>
      </c>
      <c r="W617" s="105" t="s">
        <v>4356</v>
      </c>
      <c r="X617" s="105" t="s">
        <v>4356</v>
      </c>
      <c r="Y617" s="105" t="s">
        <v>4356</v>
      </c>
      <c r="Z617" s="105"/>
      <c r="AA617" s="105"/>
      <c r="AB617" s="204" t="s">
        <v>7019</v>
      </c>
      <c r="AC617" s="204" t="s">
        <v>7020</v>
      </c>
      <c r="AD617" s="204" t="s">
        <v>7021</v>
      </c>
      <c r="AE617" s="218" t="s">
        <v>4332</v>
      </c>
      <c r="AF617" s="165" t="s">
        <v>4333</v>
      </c>
      <c r="AG617" s="208">
        <v>3662.81</v>
      </c>
      <c r="AH617" s="208">
        <v>3662.81</v>
      </c>
      <c r="AI617" s="165" t="s">
        <v>4336</v>
      </c>
      <c r="AJ617" s="104" t="s">
        <v>4438</v>
      </c>
      <c r="AK617" s="103">
        <v>151380319</v>
      </c>
      <c r="AL617" s="103" t="s">
        <v>4347</v>
      </c>
      <c r="AM617" s="103" t="s">
        <v>4338</v>
      </c>
      <c r="AN617" s="103" t="s">
        <v>4368</v>
      </c>
      <c r="AO617" s="103"/>
      <c r="AP617" s="171"/>
      <c r="AQ617" s="103"/>
      <c r="AR617" s="103"/>
      <c r="AS617" s="103"/>
      <c r="AT617" s="103"/>
      <c r="AU617" s="105"/>
      <c r="AV617" s="112"/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INDENIZAÇÃO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customHeight="1">
      <c r="A618" s="103">
        <v>609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246" t="s">
        <v>4343</v>
      </c>
      <c r="J618" s="149" t="s">
        <v>7023</v>
      </c>
      <c r="K618" s="149" t="s">
        <v>4457</v>
      </c>
      <c r="L618" s="149" t="s">
        <v>7024</v>
      </c>
      <c r="M618" s="103" t="s">
        <v>4333</v>
      </c>
      <c r="N618" s="103" t="s">
        <v>4345</v>
      </c>
      <c r="O618" s="105">
        <v>45996</v>
      </c>
      <c r="P618" s="105">
        <v>46065</v>
      </c>
      <c r="Q618" s="108" t="s">
        <v>4436</v>
      </c>
      <c r="R618" s="105">
        <v>46072</v>
      </c>
      <c r="S618" s="108">
        <v>46072</v>
      </c>
      <c r="T618" s="108">
        <v>46080</v>
      </c>
      <c r="U618" s="105">
        <v>46083</v>
      </c>
      <c r="V618" s="105" t="s">
        <v>4437</v>
      </c>
      <c r="W618" s="105" t="s">
        <v>4437</v>
      </c>
      <c r="X618" s="108">
        <v>46055</v>
      </c>
      <c r="Y618" s="108">
        <v>46091</v>
      </c>
      <c r="Z618" s="105"/>
      <c r="AA618" s="103"/>
      <c r="AB618" s="149" t="s">
        <v>7023</v>
      </c>
      <c r="AC618" s="149" t="s">
        <v>4457</v>
      </c>
      <c r="AD618" s="149" t="s">
        <v>7024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28" t="s">
        <v>4355</v>
      </c>
      <c r="AJ618" s="104" t="s">
        <v>4438</v>
      </c>
      <c r="AK618" s="194"/>
      <c r="AL618" s="194"/>
      <c r="AM618" s="194"/>
      <c r="AN618" s="194"/>
      <c r="AO618" s="194"/>
      <c r="AP618" s="171"/>
      <c r="AQ618" s="103"/>
      <c r="AR618" s="103"/>
      <c r="AS618" s="103"/>
      <c r="AT618" s="103"/>
      <c r="AU618" s="105"/>
      <c r="AV618" s="112"/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610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7025</v>
      </c>
      <c r="G619" s="103" t="s">
        <v>4330</v>
      </c>
      <c r="H619" s="103" t="s">
        <v>4331</v>
      </c>
      <c r="I619" s="142" t="s">
        <v>4343</v>
      </c>
      <c r="J619" s="149" t="s">
        <v>7026</v>
      </c>
      <c r="K619" s="149" t="s">
        <v>7027</v>
      </c>
      <c r="L619" s="149" t="s">
        <v>7028</v>
      </c>
      <c r="M619" s="103" t="s">
        <v>4333</v>
      </c>
      <c r="N619" s="103" t="s">
        <v>4345</v>
      </c>
      <c r="O619" s="105">
        <v>45980</v>
      </c>
      <c r="P619" s="105">
        <v>45986</v>
      </c>
      <c r="Q619" s="108" t="s">
        <v>4436</v>
      </c>
      <c r="R619" s="108">
        <v>45985</v>
      </c>
      <c r="S619" s="108">
        <v>45986</v>
      </c>
      <c r="T619" s="108">
        <v>45987</v>
      </c>
      <c r="U619" s="108">
        <v>45992</v>
      </c>
      <c r="V619" s="105" t="s">
        <v>4437</v>
      </c>
      <c r="W619" s="105" t="s">
        <v>4437</v>
      </c>
      <c r="X619" s="105">
        <v>45999</v>
      </c>
      <c r="Y619" s="105">
        <v>46000</v>
      </c>
      <c r="Z619" s="105"/>
      <c r="AA619" s="103"/>
      <c r="AB619" s="149" t="s">
        <v>7026</v>
      </c>
      <c r="AC619" s="149" t="s">
        <v>7027</v>
      </c>
      <c r="AD619" s="149" t="s">
        <v>7028</v>
      </c>
      <c r="AE619" s="103" t="s">
        <v>4343</v>
      </c>
      <c r="AF619" s="103" t="s">
        <v>4333</v>
      </c>
      <c r="AG619" s="194" t="s">
        <v>4356</v>
      </c>
      <c r="AH619" s="194" t="s">
        <v>4356</v>
      </c>
      <c r="AI619" s="212" t="s">
        <v>4355</v>
      </c>
      <c r="AJ619" s="104" t="s">
        <v>4438</v>
      </c>
      <c r="AK619" s="103"/>
      <c r="AL619" s="103"/>
      <c r="AM619" s="103"/>
      <c r="AN619" s="103"/>
      <c r="AO619" s="103"/>
      <c r="AP619" s="171"/>
      <c r="AQ619" s="103"/>
      <c r="AR619" s="103"/>
      <c r="AS619" s="103" t="s">
        <v>4356</v>
      </c>
      <c r="AT619" s="103" t="s">
        <v>4356</v>
      </c>
      <c r="AU619" s="103" t="s">
        <v>4356</v>
      </c>
      <c r="AV619" s="103" t="s">
        <v>4356</v>
      </c>
      <c r="AW619" s="109"/>
      <c r="AX619" s="109"/>
      <c r="AY619" s="166"/>
      <c r="AZ619" s="106"/>
      <c r="BA619" s="107"/>
      <c r="BB619" s="136"/>
      <c r="BC619" s="220" t="str">
        <f t="shared" si="72"/>
        <v/>
      </c>
      <c r="BD619" s="103" t="str">
        <f t="shared" si="73"/>
        <v>AA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65">
        <v>611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7029</v>
      </c>
      <c r="G620" s="103" t="s">
        <v>4330</v>
      </c>
      <c r="H620" s="103" t="s">
        <v>4331</v>
      </c>
      <c r="I620" s="142" t="s">
        <v>4343</v>
      </c>
      <c r="J620" s="149" t="s">
        <v>7030</v>
      </c>
      <c r="K620" s="149" t="s">
        <v>7031</v>
      </c>
      <c r="L620" s="149" t="s">
        <v>7032</v>
      </c>
      <c r="M620" s="103" t="s">
        <v>4333</v>
      </c>
      <c r="N620" s="103" t="s">
        <v>4459</v>
      </c>
      <c r="O620" s="105">
        <v>45980</v>
      </c>
      <c r="P620" s="105" t="s">
        <v>4356</v>
      </c>
      <c r="Q620" s="105" t="s">
        <v>4356</v>
      </c>
      <c r="R620" s="105" t="s">
        <v>4356</v>
      </c>
      <c r="S620" s="105" t="s">
        <v>4356</v>
      </c>
      <c r="T620" s="105" t="s">
        <v>4356</v>
      </c>
      <c r="U620" s="105" t="s">
        <v>4356</v>
      </c>
      <c r="V620" s="105" t="s">
        <v>4356</v>
      </c>
      <c r="W620" s="105" t="s">
        <v>4356</v>
      </c>
      <c r="X620" s="105" t="s">
        <v>4356</v>
      </c>
      <c r="Y620" s="105" t="s">
        <v>4356</v>
      </c>
      <c r="Z620" s="105"/>
      <c r="AA620" s="105"/>
      <c r="AB620" s="204" t="s">
        <v>7030</v>
      </c>
      <c r="AC620" s="204" t="s">
        <v>7031</v>
      </c>
      <c r="AD620" s="204" t="s">
        <v>7032</v>
      </c>
      <c r="AE620" s="165" t="s">
        <v>4343</v>
      </c>
      <c r="AF620" s="165" t="s">
        <v>4333</v>
      </c>
      <c r="AG620" s="208">
        <v>22842.9</v>
      </c>
      <c r="AH620" s="208">
        <f>AG620+30000</f>
        <v>52842.9</v>
      </c>
      <c r="AI620" s="165" t="s">
        <v>4336</v>
      </c>
      <c r="AJ620" s="104" t="s">
        <v>4438</v>
      </c>
      <c r="AK620" s="103">
        <v>146671194</v>
      </c>
      <c r="AL620" s="103" t="s">
        <v>4338</v>
      </c>
      <c r="AM620" s="103" t="s">
        <v>4338</v>
      </c>
      <c r="AN620" s="103" t="s">
        <v>4339</v>
      </c>
      <c r="AO620" s="112"/>
      <c r="AP620" s="171" t="s">
        <v>7033</v>
      </c>
      <c r="AQ620" s="103" t="s">
        <v>4338</v>
      </c>
      <c r="AR620" s="103" t="s">
        <v>4338</v>
      </c>
      <c r="AS620" s="103" t="s">
        <v>4338</v>
      </c>
      <c r="AT620" s="103" t="s">
        <v>4338</v>
      </c>
      <c r="AU620" s="105">
        <v>46009</v>
      </c>
      <c r="AV620" s="112" t="s">
        <v>4338</v>
      </c>
      <c r="AW620" s="103" t="s">
        <v>4338</v>
      </c>
      <c r="AX620" s="111">
        <v>46021</v>
      </c>
      <c r="AY620" s="106">
        <v>46021</v>
      </c>
      <c r="AZ620" s="157" t="s">
        <v>4453</v>
      </c>
      <c r="BA620" s="107" t="s">
        <v>4454</v>
      </c>
      <c r="BB620" s="136" t="s">
        <v>4338</v>
      </c>
      <c r="BC620" s="220">
        <f t="shared" si="72"/>
        <v>41</v>
      </c>
      <c r="BD620" s="103" t="str">
        <f t="shared" si="73"/>
        <v>INDENIZAÇÃO</v>
      </c>
      <c r="BE620" s="103" t="str">
        <f t="shared" si="74"/>
        <v>NÃO</v>
      </c>
      <c r="BF620" s="140" t="s">
        <v>4357</v>
      </c>
      <c r="BG620" s="140" t="s">
        <v>4357</v>
      </c>
      <c r="BH620" s="140" t="s">
        <v>4357</v>
      </c>
      <c r="BI620" s="103" t="s">
        <v>4338</v>
      </c>
      <c r="BJ620" s="103" t="s">
        <v>4338</v>
      </c>
      <c r="BK620" s="105">
        <v>46205</v>
      </c>
      <c r="BL620" s="154" t="s">
        <v>4461</v>
      </c>
      <c r="BM620" s="237"/>
    </row>
    <row r="621" spans="1:107" ht="30" customHeight="1">
      <c r="A621" s="165">
        <v>612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4352</v>
      </c>
      <c r="I621" s="142" t="s">
        <v>4343</v>
      </c>
      <c r="J621" s="149" t="s">
        <v>7035</v>
      </c>
      <c r="K621" s="149" t="s">
        <v>4457</v>
      </c>
      <c r="L621" s="149" t="s">
        <v>7036</v>
      </c>
      <c r="M621" s="103" t="s">
        <v>4333</v>
      </c>
      <c r="N621" s="103" t="s">
        <v>4345</v>
      </c>
      <c r="O621" s="105"/>
      <c r="P621" s="105">
        <v>46065</v>
      </c>
      <c r="Q621" s="108" t="s">
        <v>4436</v>
      </c>
      <c r="R621" s="105">
        <v>46072</v>
      </c>
      <c r="S621" s="108">
        <v>46072</v>
      </c>
      <c r="T621" s="108">
        <v>46080</v>
      </c>
      <c r="U621" s="105">
        <v>46083</v>
      </c>
      <c r="V621" s="105" t="s">
        <v>4437</v>
      </c>
      <c r="W621" s="105" t="s">
        <v>4437</v>
      </c>
      <c r="X621" s="108">
        <v>46055</v>
      </c>
      <c r="Y621" s="108">
        <v>46091</v>
      </c>
      <c r="Z621" s="105"/>
      <c r="AA621" s="103"/>
      <c r="AB621" s="149" t="s">
        <v>7035</v>
      </c>
      <c r="AC621" s="149" t="s">
        <v>4457</v>
      </c>
      <c r="AD621" s="149" t="s">
        <v>7036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103" t="s">
        <v>4355</v>
      </c>
      <c r="AJ621" s="104" t="s">
        <v>4438</v>
      </c>
      <c r="AK621" s="103"/>
      <c r="AL621" s="103"/>
      <c r="AM621" s="103"/>
      <c r="AN621" s="103"/>
      <c r="AO621" s="112"/>
      <c r="AP621" s="171"/>
      <c r="AQ621" s="103"/>
      <c r="AR621" s="103"/>
      <c r="AS621" s="103"/>
      <c r="AT621" s="103"/>
      <c r="AU621" s="105"/>
      <c r="AV621" s="112"/>
      <c r="AW621" s="103"/>
      <c r="AX621" s="111"/>
      <c r="AY621" s="166"/>
      <c r="AZ621" s="157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54"/>
      <c r="BJ621" s="154"/>
      <c r="BK621" s="154"/>
      <c r="BL621" s="154"/>
      <c r="BM621" s="237"/>
      <c r="BN621" s="232"/>
    </row>
    <row r="622" spans="1:107" ht="30" customHeight="1">
      <c r="A622" s="165">
        <v>613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7037</v>
      </c>
      <c r="G622" s="103" t="s">
        <v>4330</v>
      </c>
      <c r="H622" s="103" t="s">
        <v>4331</v>
      </c>
      <c r="I622" s="142" t="s">
        <v>4343</v>
      </c>
      <c r="J622" s="149" t="s">
        <v>7038</v>
      </c>
      <c r="K622" s="149" t="s">
        <v>7039</v>
      </c>
      <c r="L622" s="149" t="s">
        <v>7040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149" t="s">
        <v>7038</v>
      </c>
      <c r="AC622" s="149" t="s">
        <v>7039</v>
      </c>
      <c r="AD622" s="149" t="s">
        <v>7040</v>
      </c>
      <c r="AE622" s="103" t="s">
        <v>4343</v>
      </c>
      <c r="AF622" s="103" t="s">
        <v>4333</v>
      </c>
      <c r="AG622" s="194">
        <v>23178.12</v>
      </c>
      <c r="AH622" s="194">
        <f>AG622+30000</f>
        <v>53178.119999999995</v>
      </c>
      <c r="AI622" s="103" t="s">
        <v>4336</v>
      </c>
      <c r="AJ622" s="104" t="s">
        <v>4438</v>
      </c>
      <c r="AK622" s="103">
        <v>146671460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7041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8">
        <v>46017</v>
      </c>
      <c r="AV622" s="112" t="s">
        <v>4338</v>
      </c>
      <c r="AW622" s="103" t="s">
        <v>4338</v>
      </c>
      <c r="AX622" s="166">
        <v>46024</v>
      </c>
      <c r="AY622" s="106">
        <v>46024</v>
      </c>
      <c r="AZ622" s="157" t="s">
        <v>4453</v>
      </c>
      <c r="BA622" s="107" t="s">
        <v>4454</v>
      </c>
      <c r="BB622" s="136" t="s">
        <v>4338</v>
      </c>
      <c r="BC622" s="220">
        <f t="shared" si="72"/>
        <v>44</v>
      </c>
      <c r="BD622" s="103" t="str">
        <f t="shared" si="73"/>
        <v>INDENIZAÇÃO</v>
      </c>
      <c r="BE622" s="103" t="str">
        <f t="shared" si="74"/>
        <v>NÃO</v>
      </c>
      <c r="BF622" s="140" t="s">
        <v>4357</v>
      </c>
      <c r="BG622" s="140" t="s">
        <v>4357</v>
      </c>
      <c r="BH622" s="140" t="s">
        <v>4357</v>
      </c>
      <c r="BI622" s="154" t="s">
        <v>5393</v>
      </c>
      <c r="BJ622" s="154"/>
      <c r="BK622" s="154"/>
      <c r="BL622" s="154"/>
      <c r="BM622" s="237"/>
      <c r="BN622" s="232"/>
    </row>
    <row r="623" spans="1:107" ht="30" customHeight="1">
      <c r="A623" s="103">
        <v>614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7042</v>
      </c>
      <c r="G623" s="103" t="s">
        <v>4330</v>
      </c>
      <c r="H623" s="103" t="s">
        <v>4331</v>
      </c>
      <c r="I623" s="142" t="s">
        <v>4343</v>
      </c>
      <c r="J623" s="149" t="s">
        <v>7043</v>
      </c>
      <c r="K623" s="149" t="s">
        <v>7044</v>
      </c>
      <c r="L623" s="149" t="s">
        <v>7045</v>
      </c>
      <c r="M623" s="103" t="s">
        <v>4333</v>
      </c>
      <c r="N623" s="103" t="s">
        <v>4345</v>
      </c>
      <c r="O623" s="105">
        <v>45986</v>
      </c>
      <c r="P623" s="105">
        <v>46002</v>
      </c>
      <c r="Q623" s="105" t="s">
        <v>4436</v>
      </c>
      <c r="R623" s="105">
        <v>45999</v>
      </c>
      <c r="S623" s="105">
        <v>46006</v>
      </c>
      <c r="T623" s="105">
        <v>46006</v>
      </c>
      <c r="U623" s="105">
        <v>46009</v>
      </c>
      <c r="V623" s="105" t="s">
        <v>4437</v>
      </c>
      <c r="W623" s="105" t="s">
        <v>4437</v>
      </c>
      <c r="X623" s="105">
        <v>46014</v>
      </c>
      <c r="Y623" s="105">
        <v>46020</v>
      </c>
      <c r="Z623" s="105"/>
      <c r="AA623" s="103"/>
      <c r="AB623" s="149" t="s">
        <v>7043</v>
      </c>
      <c r="AC623" s="149" t="s">
        <v>7044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03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40"/>
      <c r="BJ623" s="140"/>
      <c r="BK623" s="140"/>
      <c r="BL623" s="140"/>
      <c r="BM623" s="238"/>
      <c r="BN623" s="232"/>
    </row>
    <row r="624" spans="1:107" ht="30" customHeight="1">
      <c r="A624" s="103">
        <v>615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14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45996</v>
      </c>
      <c r="P624" s="105">
        <v>46002</v>
      </c>
      <c r="Q624" s="105" t="s">
        <v>4436</v>
      </c>
      <c r="R624" s="105">
        <v>45999</v>
      </c>
      <c r="S624" s="105">
        <v>46006</v>
      </c>
      <c r="T624" s="105">
        <v>46006</v>
      </c>
      <c r="U624" s="105">
        <v>46009</v>
      </c>
      <c r="V624" s="105" t="s">
        <v>4437</v>
      </c>
      <c r="W624" s="105" t="s">
        <v>4437</v>
      </c>
      <c r="X624" s="105">
        <v>46014</v>
      </c>
      <c r="Y624" s="105">
        <v>46020</v>
      </c>
      <c r="Z624" s="105"/>
      <c r="AA624" s="103"/>
      <c r="AB624" s="114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103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/>
      <c r="AT624" s="103"/>
      <c r="AU624" s="105"/>
      <c r="AV624" s="112"/>
      <c r="AW624" s="103"/>
      <c r="AX624" s="105"/>
      <c r="AY624" s="166"/>
      <c r="AZ624" s="105"/>
      <c r="BA624" s="103"/>
      <c r="BB624" s="136"/>
      <c r="BC624" s="220" t="str">
        <f t="shared" si="72"/>
        <v/>
      </c>
      <c r="BD624" s="103" t="str">
        <f t="shared" si="73"/>
        <v>AA</v>
      </c>
      <c r="BE624" s="103" t="str">
        <f t="shared" si="74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7" ht="30" customHeight="1">
      <c r="A625" s="103">
        <v>616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14" t="s">
        <v>7051</v>
      </c>
      <c r="K625" s="149" t="s">
        <v>4457</v>
      </c>
      <c r="L625" s="149" t="s">
        <v>7052</v>
      </c>
      <c r="M625" s="103" t="s">
        <v>4333</v>
      </c>
      <c r="N625" s="103" t="s">
        <v>4345</v>
      </c>
      <c r="O625" s="105">
        <v>46041</v>
      </c>
      <c r="P625" s="108">
        <v>46044</v>
      </c>
      <c r="Q625" s="108" t="s">
        <v>4436</v>
      </c>
      <c r="R625" s="108">
        <v>46043</v>
      </c>
      <c r="S625" s="108">
        <v>46044</v>
      </c>
      <c r="T625" s="108">
        <v>46045</v>
      </c>
      <c r="U625" s="108">
        <v>46155</v>
      </c>
      <c r="V625" s="105" t="s">
        <v>4437</v>
      </c>
      <c r="W625" s="105" t="s">
        <v>4437</v>
      </c>
      <c r="X625" s="105">
        <v>46055</v>
      </c>
      <c r="Y625" s="105">
        <v>46062</v>
      </c>
      <c r="Z625" s="105"/>
      <c r="AA625" s="103"/>
      <c r="AB625" s="114" t="s">
        <v>7051</v>
      </c>
      <c r="AC625" s="149" t="s">
        <v>4457</v>
      </c>
      <c r="AD625" s="149" t="s">
        <v>7052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</row>
    <row r="626" spans="1:67" ht="30" customHeight="1">
      <c r="A626" s="165">
        <v>617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7053</v>
      </c>
      <c r="G626" s="103" t="s">
        <v>4330</v>
      </c>
      <c r="H626" s="103" t="s">
        <v>4331</v>
      </c>
      <c r="I626" s="142" t="s">
        <v>4440</v>
      </c>
      <c r="J626" s="114" t="s">
        <v>7054</v>
      </c>
      <c r="K626" s="149" t="s">
        <v>7055</v>
      </c>
      <c r="L626" s="149" t="s">
        <v>7056</v>
      </c>
      <c r="M626" s="103" t="s">
        <v>4333</v>
      </c>
      <c r="N626" s="103" t="s">
        <v>4345</v>
      </c>
      <c r="O626" s="105">
        <v>45980</v>
      </c>
      <c r="P626" s="105">
        <v>45986</v>
      </c>
      <c r="Q626" s="108" t="s">
        <v>4436</v>
      </c>
      <c r="R626" s="108">
        <v>45985</v>
      </c>
      <c r="S626" s="108">
        <v>45986</v>
      </c>
      <c r="T626" s="108">
        <v>45987</v>
      </c>
      <c r="U626" s="108">
        <v>45992</v>
      </c>
      <c r="V626" s="105" t="s">
        <v>4437</v>
      </c>
      <c r="W626" s="105" t="s">
        <v>4437</v>
      </c>
      <c r="X626" s="105">
        <v>45999</v>
      </c>
      <c r="Y626" s="105">
        <v>46002</v>
      </c>
      <c r="Z626" s="105"/>
      <c r="AA626" s="103"/>
      <c r="AB626" s="149" t="s">
        <v>7057</v>
      </c>
      <c r="AC626" s="149" t="s">
        <v>4432</v>
      </c>
      <c r="AD626" s="149" t="s">
        <v>7058</v>
      </c>
      <c r="AE626" s="142" t="s">
        <v>4332</v>
      </c>
      <c r="AF626" s="103" t="s">
        <v>4333</v>
      </c>
      <c r="AG626" s="194">
        <v>6316.23</v>
      </c>
      <c r="AH626" s="194">
        <v>6316.23</v>
      </c>
      <c r="AI626" s="103" t="s">
        <v>4336</v>
      </c>
      <c r="AJ626" s="104" t="s">
        <v>4438</v>
      </c>
      <c r="AK626" s="103">
        <v>146671536</v>
      </c>
      <c r="AL626" s="103" t="s">
        <v>4338</v>
      </c>
      <c r="AM626" s="103" t="s">
        <v>4338</v>
      </c>
      <c r="AN626" s="103" t="s">
        <v>4339</v>
      </c>
      <c r="AO626" s="112"/>
      <c r="AP626" s="171" t="s">
        <v>7059</v>
      </c>
      <c r="AQ626" s="103" t="s">
        <v>4338</v>
      </c>
      <c r="AR626" s="103" t="s">
        <v>4338</v>
      </c>
      <c r="AS626" s="103" t="s">
        <v>4338</v>
      </c>
      <c r="AT626" s="103" t="s">
        <v>4338</v>
      </c>
      <c r="AU626" s="108">
        <v>46017</v>
      </c>
      <c r="AV626" s="112" t="s">
        <v>4338</v>
      </c>
      <c r="AW626" s="103" t="s">
        <v>4338</v>
      </c>
      <c r="AX626" s="166">
        <v>46024</v>
      </c>
      <c r="AY626" s="106">
        <v>46024</v>
      </c>
      <c r="AZ626" s="157" t="s">
        <v>4453</v>
      </c>
      <c r="BA626" s="107" t="s">
        <v>4454</v>
      </c>
      <c r="BB626" s="136" t="s">
        <v>4338</v>
      </c>
      <c r="BC626" s="220">
        <f t="shared" si="72"/>
        <v>44</v>
      </c>
      <c r="BD626" s="103" t="str">
        <f t="shared" si="73"/>
        <v>INDENIZAÇÃO</v>
      </c>
      <c r="BE626" s="103" t="str">
        <f t="shared" si="74"/>
        <v>NÃO</v>
      </c>
      <c r="BF626" s="140" t="s">
        <v>4357</v>
      </c>
      <c r="BG626" s="140" t="s">
        <v>4357</v>
      </c>
      <c r="BH626" s="140" t="s">
        <v>4357</v>
      </c>
      <c r="BI626" s="154" t="s">
        <v>5393</v>
      </c>
      <c r="BJ626" s="154"/>
      <c r="BK626" s="154"/>
      <c r="BL626" s="154"/>
      <c r="BM626" s="237"/>
    </row>
    <row r="627" spans="1:67" ht="30" customHeight="1">
      <c r="A627" s="165">
        <v>618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7060</v>
      </c>
      <c r="G627" s="103" t="s">
        <v>4330</v>
      </c>
      <c r="H627" s="103" t="s">
        <v>4331</v>
      </c>
      <c r="I627" s="142" t="s">
        <v>4343</v>
      </c>
      <c r="J627" s="149" t="s">
        <v>7061</v>
      </c>
      <c r="K627" s="149" t="s">
        <v>7062</v>
      </c>
      <c r="L627" s="149" t="s">
        <v>7063</v>
      </c>
      <c r="M627" s="103" t="s">
        <v>4333</v>
      </c>
      <c r="N627" s="103" t="s">
        <v>4345</v>
      </c>
      <c r="O627" s="105">
        <v>45980</v>
      </c>
      <c r="P627" s="105">
        <v>45986</v>
      </c>
      <c r="Q627" s="108" t="s">
        <v>4436</v>
      </c>
      <c r="R627" s="108">
        <v>45985</v>
      </c>
      <c r="S627" s="108">
        <v>45986</v>
      </c>
      <c r="T627" s="108">
        <v>45987</v>
      </c>
      <c r="U627" s="108">
        <v>45992</v>
      </c>
      <c r="V627" s="108" t="s">
        <v>4437</v>
      </c>
      <c r="W627" s="108" t="s">
        <v>4437</v>
      </c>
      <c r="X627" s="105">
        <v>45999</v>
      </c>
      <c r="Y627" s="105">
        <v>46000</v>
      </c>
      <c r="Z627" s="108"/>
      <c r="AA627" s="112"/>
      <c r="AB627" s="149" t="s">
        <v>7061</v>
      </c>
      <c r="AC627" s="149" t="s">
        <v>7062</v>
      </c>
      <c r="AD627" s="149" t="s">
        <v>7063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212" t="s">
        <v>4355</v>
      </c>
      <c r="AJ627" s="104" t="s">
        <v>4438</v>
      </c>
      <c r="AK627" s="103"/>
      <c r="AL627" s="103"/>
      <c r="AM627" s="103"/>
      <c r="AN627" s="103"/>
      <c r="AO627" s="112"/>
      <c r="AP627" s="171"/>
      <c r="AQ627" s="103"/>
      <c r="AR627" s="103"/>
      <c r="AS627" s="103" t="s">
        <v>4356</v>
      </c>
      <c r="AT627" s="103" t="s">
        <v>4356</v>
      </c>
      <c r="AU627" s="103" t="s">
        <v>4356</v>
      </c>
      <c r="AV627" s="103" t="s">
        <v>4356</v>
      </c>
      <c r="AW627" s="112"/>
      <c r="AX627" s="112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  <c r="BN627" s="232"/>
    </row>
    <row r="628" spans="1:67" ht="30" customHeight="1">
      <c r="A628" s="165">
        <v>619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7064</v>
      </c>
      <c r="G628" s="103" t="s">
        <v>4330</v>
      </c>
      <c r="H628" s="103" t="s">
        <v>4331</v>
      </c>
      <c r="I628" s="142" t="s">
        <v>4343</v>
      </c>
      <c r="J628" s="149" t="s">
        <v>7065</v>
      </c>
      <c r="K628" s="149" t="s">
        <v>7066</v>
      </c>
      <c r="L628" s="149" t="s">
        <v>7067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46006</v>
      </c>
      <c r="Z628" s="105"/>
      <c r="AA628" s="103"/>
      <c r="AB628" s="149" t="s">
        <v>7065</v>
      </c>
      <c r="AC628" s="149" t="s">
        <v>7066</v>
      </c>
      <c r="AD628" s="149" t="s">
        <v>7067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210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 t="s">
        <v>4356</v>
      </c>
      <c r="AT628" s="103" t="s">
        <v>4356</v>
      </c>
      <c r="AU628" s="103" t="s">
        <v>4356</v>
      </c>
      <c r="AV628" s="103" t="s">
        <v>4356</v>
      </c>
      <c r="AW628" s="103"/>
      <c r="AX628" s="105"/>
      <c r="AY628" s="166"/>
      <c r="AZ628" s="105"/>
      <c r="BA628" s="103"/>
      <c r="BB628" s="136"/>
      <c r="BC628" s="220" t="str">
        <f t="shared" si="72"/>
        <v/>
      </c>
      <c r="BD628" s="103" t="str">
        <f t="shared" si="73"/>
        <v>AA</v>
      </c>
      <c r="BE628" s="103" t="str">
        <f t="shared" si="74"/>
        <v>NÃO</v>
      </c>
      <c r="BF628" s="140"/>
      <c r="BG628" s="140"/>
      <c r="BH628" s="140"/>
      <c r="BI628" s="140"/>
      <c r="BJ628" s="140"/>
      <c r="BK628" s="140"/>
      <c r="BL628" s="140"/>
      <c r="BM628" s="238"/>
    </row>
    <row r="629" spans="1:67" ht="30" customHeight="1">
      <c r="A629" s="103">
        <v>620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7068</v>
      </c>
      <c r="G629" s="103" t="s">
        <v>4330</v>
      </c>
      <c r="H629" s="103" t="s">
        <v>4331</v>
      </c>
      <c r="I629" s="142" t="s">
        <v>4343</v>
      </c>
      <c r="J629" s="149" t="s">
        <v>7069</v>
      </c>
      <c r="K629" s="149" t="s">
        <v>7070</v>
      </c>
      <c r="L629" s="149" t="s">
        <v>7071</v>
      </c>
      <c r="M629" s="103" t="s">
        <v>4333</v>
      </c>
      <c r="N629" s="103" t="s">
        <v>4459</v>
      </c>
      <c r="O629" s="105">
        <v>46001</v>
      </c>
      <c r="P629" s="105" t="s">
        <v>4356</v>
      </c>
      <c r="Q629" s="105" t="s">
        <v>4356</v>
      </c>
      <c r="R629" s="105" t="s">
        <v>4356</v>
      </c>
      <c r="S629" s="105" t="s">
        <v>4356</v>
      </c>
      <c r="T629" s="105" t="s">
        <v>4356</v>
      </c>
      <c r="U629" s="105" t="s">
        <v>4356</v>
      </c>
      <c r="V629" s="105" t="s">
        <v>4356</v>
      </c>
      <c r="W629" s="105" t="s">
        <v>4356</v>
      </c>
      <c r="X629" s="105" t="s">
        <v>4356</v>
      </c>
      <c r="Y629" s="105" t="s">
        <v>4356</v>
      </c>
      <c r="Z629" s="105"/>
      <c r="AA629" s="105"/>
      <c r="AB629" s="204" t="s">
        <v>7069</v>
      </c>
      <c r="AC629" s="204" t="s">
        <v>7070</v>
      </c>
      <c r="AD629" s="204" t="s">
        <v>7071</v>
      </c>
      <c r="AE629" s="165" t="s">
        <v>4343</v>
      </c>
      <c r="AF629" s="165" t="s">
        <v>4333</v>
      </c>
      <c r="AG629" s="208">
        <v>41025.519999999997</v>
      </c>
      <c r="AH629" s="208">
        <v>60000</v>
      </c>
      <c r="AI629" s="165" t="s">
        <v>4336</v>
      </c>
      <c r="AJ629" s="104" t="s">
        <v>4438</v>
      </c>
      <c r="AK629" s="103">
        <v>146671616</v>
      </c>
      <c r="AL629" s="103" t="s">
        <v>4338</v>
      </c>
      <c r="AM629" s="103" t="s">
        <v>4338</v>
      </c>
      <c r="AN629" s="103" t="s">
        <v>4339</v>
      </c>
      <c r="AO629" s="176"/>
      <c r="AP629" s="171" t="s">
        <v>7072</v>
      </c>
      <c r="AQ629" s="103" t="s">
        <v>4338</v>
      </c>
      <c r="AR629" s="103" t="s">
        <v>4338</v>
      </c>
      <c r="AS629" s="103" t="s">
        <v>4338</v>
      </c>
      <c r="AT629" s="103" t="s">
        <v>4338</v>
      </c>
      <c r="AU629" s="108">
        <v>46024</v>
      </c>
      <c r="AV629" s="112" t="s">
        <v>4338</v>
      </c>
      <c r="AW629" s="103" t="s">
        <v>4338</v>
      </c>
      <c r="AX629" s="166">
        <v>46038</v>
      </c>
      <c r="AY629" s="157">
        <v>46038</v>
      </c>
      <c r="AZ629" s="157" t="s">
        <v>4453</v>
      </c>
      <c r="BA629" s="107" t="s">
        <v>4454</v>
      </c>
      <c r="BB629" s="136" t="s">
        <v>4338</v>
      </c>
      <c r="BC629" s="220">
        <f t="shared" si="72"/>
        <v>37</v>
      </c>
      <c r="BD629" s="103" t="str">
        <f t="shared" si="73"/>
        <v>INDENIZAÇÃO</v>
      </c>
      <c r="BE629" s="103" t="str">
        <f t="shared" si="74"/>
        <v>NÃO</v>
      </c>
      <c r="BF629" s="140" t="s">
        <v>4357</v>
      </c>
      <c r="BG629" s="140" t="s">
        <v>4357</v>
      </c>
      <c r="BH629" s="140" t="s">
        <v>4357</v>
      </c>
      <c r="BI629" s="154" t="s">
        <v>5393</v>
      </c>
      <c r="BJ629" s="154"/>
      <c r="BK629" s="154"/>
      <c r="BL629" s="154"/>
      <c r="BM629" s="237"/>
    </row>
    <row r="630" spans="1:67" ht="30" customHeight="1">
      <c r="A630" s="103">
        <v>621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46003</v>
      </c>
      <c r="Z630" s="108"/>
      <c r="AA630" s="112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2" t="s">
        <v>4355</v>
      </c>
      <c r="AJ630" s="104" t="s">
        <v>4438</v>
      </c>
      <c r="AK630" s="103"/>
      <c r="AL630" s="103"/>
      <c r="AM630" s="103"/>
      <c r="AN630" s="103"/>
      <c r="AO630" s="112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12"/>
      <c r="AX630" s="112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  <c r="BN630" s="232"/>
    </row>
    <row r="631" spans="1:67" ht="30" customHeight="1">
      <c r="A631" s="103">
        <v>622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7077</v>
      </c>
      <c r="G631" s="103" t="s">
        <v>4330</v>
      </c>
      <c r="H631" s="103" t="s">
        <v>4331</v>
      </c>
      <c r="I631" s="142" t="s">
        <v>4343</v>
      </c>
      <c r="J631" s="114" t="s">
        <v>7078</v>
      </c>
      <c r="K631" s="149" t="s">
        <v>7079</v>
      </c>
      <c r="L631" s="149" t="s">
        <v>7080</v>
      </c>
      <c r="M631" s="103" t="s">
        <v>4333</v>
      </c>
      <c r="N631" s="103" t="s">
        <v>4345</v>
      </c>
      <c r="O631" s="105">
        <v>45980</v>
      </c>
      <c r="P631" s="105">
        <v>46002</v>
      </c>
      <c r="Q631" s="105" t="s">
        <v>4436</v>
      </c>
      <c r="R631" s="105">
        <v>45999</v>
      </c>
      <c r="S631" s="105">
        <v>46006</v>
      </c>
      <c r="T631" s="105">
        <v>46006</v>
      </c>
      <c r="U631" s="105">
        <v>46009</v>
      </c>
      <c r="V631" s="105" t="s">
        <v>4437</v>
      </c>
      <c r="W631" s="105" t="s">
        <v>4437</v>
      </c>
      <c r="X631" s="105">
        <v>46014</v>
      </c>
      <c r="Y631" s="105">
        <v>46020</v>
      </c>
      <c r="Z631" s="105"/>
      <c r="AA631" s="103"/>
      <c r="AB631" s="204" t="s">
        <v>7078</v>
      </c>
      <c r="AC631" s="204" t="s">
        <v>7079</v>
      </c>
      <c r="AD631" s="204" t="s">
        <v>7080</v>
      </c>
      <c r="AE631" s="165" t="s">
        <v>4343</v>
      </c>
      <c r="AF631" s="165" t="s">
        <v>4333</v>
      </c>
      <c r="AG631" s="194" t="s">
        <v>4356</v>
      </c>
      <c r="AH631" s="194" t="s">
        <v>4356</v>
      </c>
      <c r="AI631" s="165" t="s">
        <v>4355</v>
      </c>
      <c r="AJ631" s="104" t="s">
        <v>4438</v>
      </c>
      <c r="AK631" s="103"/>
      <c r="AL631" s="103"/>
      <c r="AM631" s="103"/>
      <c r="AN631" s="103"/>
      <c r="AO631" s="103"/>
      <c r="AP631" s="171"/>
      <c r="AQ631" s="103"/>
      <c r="AR631" s="103"/>
      <c r="AS631" s="103"/>
      <c r="AT631" s="103"/>
      <c r="AU631" s="105"/>
      <c r="AV631" s="112"/>
      <c r="AW631" s="103"/>
      <c r="AX631" s="105"/>
      <c r="AY631" s="166"/>
      <c r="AZ631" s="105"/>
      <c r="BA631" s="103"/>
      <c r="BB631" s="136"/>
      <c r="BC631" s="220" t="str">
        <f t="shared" si="72"/>
        <v/>
      </c>
      <c r="BD631" s="103" t="str">
        <f t="shared" si="73"/>
        <v>AA</v>
      </c>
      <c r="BE631" s="103" t="str">
        <f t="shared" si="74"/>
        <v>NÃO</v>
      </c>
      <c r="BF631" s="140"/>
      <c r="BG631" s="140"/>
      <c r="BH631" s="140"/>
      <c r="BI631" s="140"/>
      <c r="BJ631" s="140"/>
      <c r="BK631" s="140"/>
      <c r="BL631" s="140"/>
      <c r="BM631" s="238"/>
    </row>
    <row r="632" spans="1:67" ht="30" customHeight="1">
      <c r="A632" s="165">
        <v>623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45993</v>
      </c>
      <c r="P632" s="105">
        <v>46002</v>
      </c>
      <c r="Q632" s="105" t="s">
        <v>4436</v>
      </c>
      <c r="R632" s="105">
        <v>45999</v>
      </c>
      <c r="S632" s="105">
        <v>46006</v>
      </c>
      <c r="T632" s="105">
        <v>46006</v>
      </c>
      <c r="U632" s="105">
        <v>46009</v>
      </c>
      <c r="V632" s="105" t="s">
        <v>4437</v>
      </c>
      <c r="W632" s="105" t="s">
        <v>4437</v>
      </c>
      <c r="X632" s="105">
        <v>46014</v>
      </c>
      <c r="Y632" s="105">
        <v>46020</v>
      </c>
      <c r="Z632" s="105"/>
      <c r="AA632" s="103"/>
      <c r="AB632" s="149" t="s">
        <v>7082</v>
      </c>
      <c r="AC632" s="149" t="s">
        <v>7083</v>
      </c>
      <c r="AD632" s="149" t="s">
        <v>7084</v>
      </c>
      <c r="AE632" s="165" t="s">
        <v>4343</v>
      </c>
      <c r="AF632" s="165" t="s">
        <v>4333</v>
      </c>
      <c r="AG632" s="194" t="s">
        <v>4356</v>
      </c>
      <c r="AH632" s="194" t="s">
        <v>4356</v>
      </c>
      <c r="AI632" s="103" t="s">
        <v>4355</v>
      </c>
      <c r="AJ632" s="104" t="s">
        <v>4438</v>
      </c>
      <c r="AK632" s="103"/>
      <c r="AL632" s="103"/>
      <c r="AM632" s="103"/>
      <c r="AN632" s="103"/>
      <c r="AO632" s="103"/>
      <c r="AP632" s="171"/>
      <c r="AQ632" s="103"/>
      <c r="AR632" s="103"/>
      <c r="AS632" s="103"/>
      <c r="AT632" s="103"/>
      <c r="AU632" s="105"/>
      <c r="AV632" s="112"/>
      <c r="AW632" s="103"/>
      <c r="AX632" s="105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</row>
    <row r="633" spans="1:67" ht="30" customHeight="1">
      <c r="A633" s="165">
        <v>624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4457</v>
      </c>
      <c r="L633" s="149" t="s">
        <v>7087</v>
      </c>
      <c r="M633" s="103" t="s">
        <v>4333</v>
      </c>
      <c r="N633" s="103" t="s">
        <v>4459</v>
      </c>
      <c r="O633" s="105">
        <v>46064</v>
      </c>
      <c r="P633" s="105" t="s">
        <v>4356</v>
      </c>
      <c r="Q633" s="105" t="s">
        <v>4356</v>
      </c>
      <c r="R633" s="105" t="s">
        <v>4356</v>
      </c>
      <c r="S633" s="105" t="s">
        <v>4356</v>
      </c>
      <c r="T633" s="105" t="s">
        <v>4356</v>
      </c>
      <c r="U633" s="105" t="s">
        <v>4356</v>
      </c>
      <c r="V633" s="105" t="s">
        <v>4356</v>
      </c>
      <c r="W633" s="105" t="s">
        <v>4356</v>
      </c>
      <c r="X633" s="105" t="s">
        <v>4356</v>
      </c>
      <c r="Y633" s="105" t="s">
        <v>4356</v>
      </c>
      <c r="Z633" s="105"/>
      <c r="AA633" s="105"/>
      <c r="AB633" s="149" t="s">
        <v>7086</v>
      </c>
      <c r="AC633" s="149" t="s">
        <v>4457</v>
      </c>
      <c r="AD633" s="149" t="s">
        <v>7087</v>
      </c>
      <c r="AE633" s="103" t="s">
        <v>4343</v>
      </c>
      <c r="AF633" s="103" t="s">
        <v>5044</v>
      </c>
      <c r="AG633" s="194">
        <v>19603.16</v>
      </c>
      <c r="AH633" s="194">
        <v>49603.16</v>
      </c>
      <c r="AI633" s="103" t="s">
        <v>4336</v>
      </c>
      <c r="AJ633" s="104" t="s">
        <v>4438</v>
      </c>
      <c r="AK633" s="103">
        <v>150614345</v>
      </c>
      <c r="AL633" s="103" t="s">
        <v>4338</v>
      </c>
      <c r="AM633" s="103" t="s">
        <v>4338</v>
      </c>
      <c r="AN633" s="103" t="s">
        <v>4339</v>
      </c>
      <c r="AO633" s="103"/>
      <c r="AP633" s="171" t="s">
        <v>7088</v>
      </c>
      <c r="AQ633" s="103" t="s">
        <v>4338</v>
      </c>
      <c r="AR633" s="103" t="s">
        <v>4338</v>
      </c>
      <c r="AS633" s="103" t="s">
        <v>4338</v>
      </c>
      <c r="AT633" s="103" t="s">
        <v>4338</v>
      </c>
      <c r="AU633" s="105">
        <v>46111</v>
      </c>
      <c r="AV633" s="103" t="s">
        <v>4338</v>
      </c>
      <c r="AW633" s="103" t="s">
        <v>4338</v>
      </c>
      <c r="AX633" s="105">
        <v>46114</v>
      </c>
      <c r="AY633" s="106">
        <v>46114</v>
      </c>
      <c r="AZ633" s="106" t="s">
        <v>4453</v>
      </c>
      <c r="BA633" s="107" t="s">
        <v>4454</v>
      </c>
      <c r="BB633" s="136" t="s">
        <v>4338</v>
      </c>
      <c r="BC633" s="220">
        <f t="shared" si="72"/>
        <v>50</v>
      </c>
      <c r="BD633" s="103" t="str">
        <f t="shared" si="73"/>
        <v>INDENIZAÇÃO</v>
      </c>
      <c r="BE633" s="103" t="str">
        <f t="shared" si="74"/>
        <v>NÃO</v>
      </c>
      <c r="BF633" s="140" t="s">
        <v>4357</v>
      </c>
      <c r="BG633" s="140" t="s">
        <v>4357</v>
      </c>
      <c r="BH633" s="140" t="s">
        <v>4357</v>
      </c>
      <c r="BI633" s="154" t="s">
        <v>5393</v>
      </c>
      <c r="BJ633" s="154"/>
      <c r="BK633" s="154"/>
      <c r="BL633" s="154"/>
      <c r="BM633" s="237"/>
    </row>
    <row r="634" spans="1:67" ht="30" customHeight="1">
      <c r="A634" s="165">
        <v>625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4345</v>
      </c>
      <c r="O634" s="105">
        <v>45980</v>
      </c>
      <c r="P634" s="105">
        <v>45986</v>
      </c>
      <c r="Q634" s="108" t="s">
        <v>4436</v>
      </c>
      <c r="R634" s="108">
        <v>45985</v>
      </c>
      <c r="S634" s="108">
        <v>45986</v>
      </c>
      <c r="T634" s="108">
        <v>45987</v>
      </c>
      <c r="U634" s="108">
        <v>45992</v>
      </c>
      <c r="V634" s="105" t="s">
        <v>4437</v>
      </c>
      <c r="W634" s="105" t="s">
        <v>4437</v>
      </c>
      <c r="X634" s="105">
        <v>45999</v>
      </c>
      <c r="Y634" s="105">
        <v>46000</v>
      </c>
      <c r="Z634" s="105"/>
      <c r="AA634" s="103"/>
      <c r="AB634" s="149" t="s">
        <v>7090</v>
      </c>
      <c r="AC634" s="149" t="s">
        <v>7091</v>
      </c>
      <c r="AD634" s="149" t="s">
        <v>7092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212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 t="s">
        <v>4356</v>
      </c>
      <c r="AT634" s="103" t="s">
        <v>4356</v>
      </c>
      <c r="AU634" s="103" t="s">
        <v>4356</v>
      </c>
      <c r="AV634" s="103" t="s">
        <v>4356</v>
      </c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03">
        <v>626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7093</v>
      </c>
      <c r="G635" s="103" t="s">
        <v>4330</v>
      </c>
      <c r="H635" s="103" t="s">
        <v>4331</v>
      </c>
      <c r="I635" s="142" t="s">
        <v>4343</v>
      </c>
      <c r="J635" s="149" t="s">
        <v>7094</v>
      </c>
      <c r="K635" s="149" t="s">
        <v>7095</v>
      </c>
      <c r="L635" s="149" t="s">
        <v>7096</v>
      </c>
      <c r="M635" s="103" t="s">
        <v>4333</v>
      </c>
      <c r="N635" s="103" t="s">
        <v>4459</v>
      </c>
      <c r="O635" s="105">
        <v>45980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204" t="s">
        <v>7094</v>
      </c>
      <c r="AC635" s="204" t="s">
        <v>7095</v>
      </c>
      <c r="AD635" s="204" t="s">
        <v>7096</v>
      </c>
      <c r="AE635" s="165" t="s">
        <v>4343</v>
      </c>
      <c r="AF635" s="165" t="s">
        <v>4333</v>
      </c>
      <c r="AG635" s="208">
        <v>47877.65</v>
      </c>
      <c r="AH635" s="208">
        <v>60000</v>
      </c>
      <c r="AI635" s="165" t="s">
        <v>4336</v>
      </c>
      <c r="AJ635" s="104" t="s">
        <v>4438</v>
      </c>
      <c r="AK635" s="103">
        <v>146672002</v>
      </c>
      <c r="AL635" s="103" t="s">
        <v>4338</v>
      </c>
      <c r="AM635" s="103" t="s">
        <v>4338</v>
      </c>
      <c r="AN635" s="103" t="s">
        <v>4339</v>
      </c>
      <c r="AO635" s="112"/>
      <c r="AP635" s="171" t="s">
        <v>7097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46008</v>
      </c>
      <c r="AV635" s="112" t="s">
        <v>4338</v>
      </c>
      <c r="AW635" s="103" t="s">
        <v>4338</v>
      </c>
      <c r="AX635" s="111">
        <v>46049</v>
      </c>
      <c r="AY635" s="157">
        <v>46049</v>
      </c>
      <c r="AZ635" s="157" t="s">
        <v>4453</v>
      </c>
      <c r="BA635" s="107" t="s">
        <v>4454</v>
      </c>
      <c r="BB635" s="136" t="s">
        <v>4338</v>
      </c>
      <c r="BC635" s="220">
        <f t="shared" si="72"/>
        <v>69</v>
      </c>
      <c r="BD635" s="103" t="str">
        <f t="shared" si="73"/>
        <v>INDENIZAÇÃO</v>
      </c>
      <c r="BE635" s="103" t="str">
        <f t="shared" si="74"/>
        <v>NÃO</v>
      </c>
      <c r="BF635" s="140" t="s">
        <v>4357</v>
      </c>
      <c r="BG635" s="140" t="s">
        <v>4357</v>
      </c>
      <c r="BH635" s="140" t="s">
        <v>4357</v>
      </c>
      <c r="BI635" s="154" t="s">
        <v>5393</v>
      </c>
      <c r="BJ635" s="154"/>
      <c r="BK635" s="154"/>
      <c r="BL635" s="154"/>
      <c r="BM635" s="237"/>
    </row>
    <row r="636" spans="1:67" ht="30" customHeight="1">
      <c r="A636" s="103">
        <v>627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8" t="s">
        <v>4437</v>
      </c>
      <c r="W636" s="108" t="s">
        <v>4437</v>
      </c>
      <c r="X636" s="105">
        <v>45999</v>
      </c>
      <c r="Y636" s="105">
        <v>46002</v>
      </c>
      <c r="Z636" s="108"/>
      <c r="AA636" s="112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12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12"/>
      <c r="AX636" s="112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  <c r="BN636" s="232"/>
    </row>
    <row r="637" spans="1:67" ht="30" customHeight="1">
      <c r="A637" s="103">
        <v>628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4440</v>
      </c>
      <c r="J637" s="114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45996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8">
        <v>46044</v>
      </c>
      <c r="Z637" s="108"/>
      <c r="AA637" s="112"/>
      <c r="AB637" s="204" t="s">
        <v>7106</v>
      </c>
      <c r="AC637" s="204" t="s">
        <v>7107</v>
      </c>
      <c r="AD637" s="204" t="s">
        <v>7108</v>
      </c>
      <c r="AE637" s="172" t="s">
        <v>4332</v>
      </c>
      <c r="AF637" s="195" t="s">
        <v>4333</v>
      </c>
      <c r="AG637" s="208">
        <v>60200.27</v>
      </c>
      <c r="AH637" s="208">
        <v>60200.27</v>
      </c>
      <c r="AI637" s="165" t="s">
        <v>4336</v>
      </c>
      <c r="AJ637" s="104" t="s">
        <v>4438</v>
      </c>
      <c r="AK637" s="103">
        <v>148267225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7109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46118</v>
      </c>
      <c r="AV637" s="103" t="s">
        <v>4338</v>
      </c>
      <c r="AW637" s="103" t="s">
        <v>4338</v>
      </c>
      <c r="AX637" s="105">
        <v>46126</v>
      </c>
      <c r="AY637" s="106">
        <v>46126</v>
      </c>
      <c r="AZ637" s="106" t="s">
        <v>4453</v>
      </c>
      <c r="BA637" s="107" t="s">
        <v>4454</v>
      </c>
      <c r="BB637" s="136" t="s">
        <v>4338</v>
      </c>
      <c r="BC637" s="220">
        <f t="shared" si="72"/>
        <v>130</v>
      </c>
      <c r="BD637" s="103" t="str">
        <f t="shared" si="73"/>
        <v>INDENIZAÇÃO</v>
      </c>
      <c r="BE637" s="103" t="str">
        <f t="shared" si="74"/>
        <v>NÃO</v>
      </c>
      <c r="BF637" s="112" t="s">
        <v>4357</v>
      </c>
      <c r="BG637" s="112" t="s">
        <v>4357</v>
      </c>
      <c r="BH637" s="112" t="s">
        <v>4357</v>
      </c>
      <c r="BI637" s="109" t="s">
        <v>5393</v>
      </c>
      <c r="BJ637" s="109"/>
      <c r="BK637" s="109"/>
      <c r="BL637" s="109"/>
      <c r="BM637" s="239"/>
    </row>
    <row r="638" spans="1:67" ht="30" customHeight="1">
      <c r="A638" s="165">
        <v>629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7110</v>
      </c>
      <c r="G638" s="103" t="s">
        <v>4330</v>
      </c>
      <c r="H638" s="103" t="s">
        <v>4331</v>
      </c>
      <c r="I638" s="142" t="s">
        <v>4343</v>
      </c>
      <c r="J638" s="114" t="s">
        <v>7111</v>
      </c>
      <c r="K638" s="149" t="s">
        <v>7112</v>
      </c>
      <c r="L638" s="149" t="s">
        <v>7113</v>
      </c>
      <c r="M638" s="103" t="s">
        <v>4333</v>
      </c>
      <c r="N638" s="103" t="s">
        <v>4459</v>
      </c>
      <c r="O638" s="105">
        <v>45980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7111</v>
      </c>
      <c r="AC638" s="149" t="s">
        <v>7112</v>
      </c>
      <c r="AD638" s="149" t="s">
        <v>7113</v>
      </c>
      <c r="AE638" s="103" t="s">
        <v>4343</v>
      </c>
      <c r="AF638" s="103" t="s">
        <v>4333</v>
      </c>
      <c r="AG638" s="194">
        <v>34520.269999999997</v>
      </c>
      <c r="AH638" s="194">
        <v>60000</v>
      </c>
      <c r="AI638" s="103" t="s">
        <v>4336</v>
      </c>
      <c r="AJ638" s="104" t="s">
        <v>4438</v>
      </c>
      <c r="AK638" s="103">
        <v>146672083</v>
      </c>
      <c r="AL638" s="103" t="s">
        <v>4338</v>
      </c>
      <c r="AM638" s="103" t="s">
        <v>4338</v>
      </c>
      <c r="AN638" s="103" t="s">
        <v>4339</v>
      </c>
      <c r="AO638" s="112"/>
      <c r="AP638" s="171" t="s">
        <v>7114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8">
        <v>46017</v>
      </c>
      <c r="AV638" s="112" t="s">
        <v>4338</v>
      </c>
      <c r="AW638" s="103" t="s">
        <v>4338</v>
      </c>
      <c r="AX638" s="166">
        <v>46024</v>
      </c>
      <c r="AY638" s="157">
        <v>46024</v>
      </c>
      <c r="AZ638" s="157" t="s">
        <v>4453</v>
      </c>
      <c r="BA638" s="174" t="s">
        <v>4454</v>
      </c>
      <c r="BB638" s="136" t="s">
        <v>4338</v>
      </c>
      <c r="BC638" s="220">
        <f t="shared" si="72"/>
        <v>44</v>
      </c>
      <c r="BD638" s="103" t="str">
        <f t="shared" si="73"/>
        <v>INDENIZAÇÃO</v>
      </c>
      <c r="BE638" s="103" t="str">
        <f t="shared" si="74"/>
        <v>NÃO</v>
      </c>
      <c r="BF638" s="140" t="s">
        <v>4357</v>
      </c>
      <c r="BG638" s="140" t="s">
        <v>4357</v>
      </c>
      <c r="BH638" s="140" t="s">
        <v>4357</v>
      </c>
      <c r="BI638" s="154" t="s">
        <v>5393</v>
      </c>
      <c r="BJ638" s="154"/>
      <c r="BK638" s="154"/>
      <c r="BL638" s="154"/>
      <c r="BM638" s="237"/>
      <c r="BN638" s="231"/>
      <c r="BO638" s="231"/>
    </row>
    <row r="639" spans="1:67" ht="30" customHeight="1">
      <c r="A639" s="165">
        <v>630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7115</v>
      </c>
      <c r="G639" s="103" t="s">
        <v>4330</v>
      </c>
      <c r="H639" s="103" t="s">
        <v>4331</v>
      </c>
      <c r="I639" s="142" t="s">
        <v>4343</v>
      </c>
      <c r="J639" s="149" t="s">
        <v>7116</v>
      </c>
      <c r="K639" s="149" t="s">
        <v>7117</v>
      </c>
      <c r="L639" s="149" t="s">
        <v>7118</v>
      </c>
      <c r="M639" s="103" t="s">
        <v>4333</v>
      </c>
      <c r="N639" s="103" t="s">
        <v>4459</v>
      </c>
      <c r="O639" s="105">
        <v>46001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149" t="s">
        <v>7116</v>
      </c>
      <c r="AC639" s="149" t="s">
        <v>7117</v>
      </c>
      <c r="AD639" s="149" t="s">
        <v>7118</v>
      </c>
      <c r="AE639" s="103" t="s">
        <v>4343</v>
      </c>
      <c r="AF639" s="103" t="s">
        <v>4333</v>
      </c>
      <c r="AG639" s="194">
        <v>106038.77</v>
      </c>
      <c r="AH639" s="194">
        <v>106038.77</v>
      </c>
      <c r="AI639" s="103" t="s">
        <v>4336</v>
      </c>
      <c r="AJ639" s="104" t="s">
        <v>4438</v>
      </c>
      <c r="AK639" s="103">
        <v>147998553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7119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46021</v>
      </c>
      <c r="AV639" s="103" t="s">
        <v>4338</v>
      </c>
      <c r="AW639" s="103" t="s">
        <v>4338</v>
      </c>
      <c r="AX639" s="105">
        <v>46105</v>
      </c>
      <c r="AY639" s="157">
        <v>46105</v>
      </c>
      <c r="AZ639" s="157" t="s">
        <v>4453</v>
      </c>
      <c r="BA639" s="174" t="s">
        <v>4454</v>
      </c>
      <c r="BB639" s="136" t="s">
        <v>4338</v>
      </c>
      <c r="BC639" s="220">
        <f t="shared" si="72"/>
        <v>104</v>
      </c>
      <c r="BD639" s="103" t="str">
        <f t="shared" si="73"/>
        <v>INDENIZAÇÃO</v>
      </c>
      <c r="BE639" s="103" t="str">
        <f t="shared" si="74"/>
        <v>NÃO</v>
      </c>
      <c r="BF639" s="140" t="s">
        <v>4357</v>
      </c>
      <c r="BG639" s="140" t="s">
        <v>4357</v>
      </c>
      <c r="BH639" s="140" t="s">
        <v>4357</v>
      </c>
      <c r="BI639" s="154" t="s">
        <v>5393</v>
      </c>
      <c r="BJ639" s="154"/>
      <c r="BK639" s="154"/>
      <c r="BL639" s="154"/>
      <c r="BM639" s="237"/>
      <c r="BN639" s="231"/>
    </row>
    <row r="640" spans="1:67" ht="30" customHeight="1">
      <c r="A640" s="165">
        <v>631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7120</v>
      </c>
      <c r="G640" s="103" t="s">
        <v>4330</v>
      </c>
      <c r="H640" s="103" t="s">
        <v>4331</v>
      </c>
      <c r="I640" s="142" t="s">
        <v>4343</v>
      </c>
      <c r="J640" s="149" t="s">
        <v>7121</v>
      </c>
      <c r="K640" s="149" t="s">
        <v>7122</v>
      </c>
      <c r="L640" s="149" t="s">
        <v>7123</v>
      </c>
      <c r="M640" s="103" t="s">
        <v>4333</v>
      </c>
      <c r="N640" s="103" t="s">
        <v>4459</v>
      </c>
      <c r="O640" s="105">
        <v>46001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7121</v>
      </c>
      <c r="AC640" s="149" t="s">
        <v>7122</v>
      </c>
      <c r="AD640" s="149" t="s">
        <v>7123</v>
      </c>
      <c r="AE640" s="103" t="s">
        <v>4343</v>
      </c>
      <c r="AF640" s="103" t="s">
        <v>4333</v>
      </c>
      <c r="AG640" s="194">
        <v>50410.89</v>
      </c>
      <c r="AH640" s="194">
        <v>60000</v>
      </c>
      <c r="AI640" s="103" t="s">
        <v>4336</v>
      </c>
      <c r="AJ640" s="104" t="s">
        <v>4438</v>
      </c>
      <c r="AK640" s="103">
        <v>147998835</v>
      </c>
      <c r="AL640" s="103" t="s">
        <v>4338</v>
      </c>
      <c r="AM640" s="103" t="s">
        <v>4338</v>
      </c>
      <c r="AN640" s="103" t="s">
        <v>4339</v>
      </c>
      <c r="AO640" s="103"/>
      <c r="AP640" s="171" t="s">
        <v>7124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46021</v>
      </c>
      <c r="AV640" s="112" t="s">
        <v>4338</v>
      </c>
      <c r="AW640" s="103" t="s">
        <v>4338</v>
      </c>
      <c r="AX640" s="111">
        <v>46041</v>
      </c>
      <c r="AY640" s="157">
        <v>46041</v>
      </c>
      <c r="AZ640" s="157" t="s">
        <v>4453</v>
      </c>
      <c r="BA640" s="174" t="s">
        <v>4454</v>
      </c>
      <c r="BB640" s="136" t="s">
        <v>4338</v>
      </c>
      <c r="BC640" s="220">
        <f t="shared" si="72"/>
        <v>40</v>
      </c>
      <c r="BD640" s="103" t="str">
        <f t="shared" si="73"/>
        <v>INDENIZAÇÃO</v>
      </c>
      <c r="BE640" s="103" t="str">
        <f t="shared" si="74"/>
        <v>NÃO</v>
      </c>
      <c r="BF640" s="140" t="s">
        <v>4357</v>
      </c>
      <c r="BG640" s="140" t="s">
        <v>4357</v>
      </c>
      <c r="BH640" s="140" t="s">
        <v>4357</v>
      </c>
      <c r="BI640" s="154" t="s">
        <v>5393</v>
      </c>
      <c r="BJ640" s="154"/>
      <c r="BK640" s="154"/>
      <c r="BL640" s="154"/>
      <c r="BM640" s="237"/>
      <c r="BN640" s="231"/>
    </row>
    <row r="641" spans="1:66" ht="30" customHeight="1">
      <c r="A641" s="103">
        <v>632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7125</v>
      </c>
      <c r="G641" s="103" t="s">
        <v>4330</v>
      </c>
      <c r="H641" s="103" t="s">
        <v>4331</v>
      </c>
      <c r="I641" s="142" t="s">
        <v>4343</v>
      </c>
      <c r="J641" s="149" t="s">
        <v>7126</v>
      </c>
      <c r="K641" s="149" t="s">
        <v>7127</v>
      </c>
      <c r="L641" s="149" t="s">
        <v>7128</v>
      </c>
      <c r="M641" s="103" t="s">
        <v>4333</v>
      </c>
      <c r="N641" s="103" t="s">
        <v>4345</v>
      </c>
      <c r="O641" s="105">
        <v>46007</v>
      </c>
      <c r="P641" s="105">
        <v>46031</v>
      </c>
      <c r="Q641" s="105" t="s">
        <v>4436</v>
      </c>
      <c r="R641" s="105">
        <v>46023</v>
      </c>
      <c r="S641" s="105">
        <v>46023</v>
      </c>
      <c r="T641" s="105">
        <v>46036</v>
      </c>
      <c r="U641" s="105">
        <v>46045</v>
      </c>
      <c r="V641" s="105" t="s">
        <v>4437</v>
      </c>
      <c r="W641" s="105" t="s">
        <v>4437</v>
      </c>
      <c r="X641" s="105">
        <v>46055</v>
      </c>
      <c r="Y641" s="105">
        <v>46057</v>
      </c>
      <c r="Z641" s="105"/>
      <c r="AA641" s="103"/>
      <c r="AB641" s="149" t="s">
        <v>7126</v>
      </c>
      <c r="AC641" s="149" t="s">
        <v>7127</v>
      </c>
      <c r="AD641" s="149" t="s">
        <v>7128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103" t="s">
        <v>4355</v>
      </c>
      <c r="AJ641" s="104" t="s">
        <v>4438</v>
      </c>
      <c r="AK641" s="103"/>
      <c r="AL641" s="103"/>
      <c r="AM641" s="103"/>
      <c r="AN641" s="103"/>
      <c r="AO641" s="103"/>
      <c r="AP641" s="171"/>
      <c r="AQ641" s="103"/>
      <c r="AR641" s="103"/>
      <c r="AS641" s="103"/>
      <c r="AT641" s="103"/>
      <c r="AU641" s="105"/>
      <c r="AV641" s="112"/>
      <c r="AW641" s="103"/>
      <c r="AX641" s="105"/>
      <c r="AY641" s="166"/>
      <c r="AZ641" s="105"/>
      <c r="BA641" s="103"/>
      <c r="BB641" s="136"/>
      <c r="BC641" s="220" t="str">
        <f t="shared" si="72"/>
        <v/>
      </c>
      <c r="BD641" s="103" t="str">
        <f t="shared" si="73"/>
        <v>AA</v>
      </c>
      <c r="BE641" s="103" t="str">
        <f t="shared" si="74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6" ht="30" customHeight="1">
      <c r="A642" s="103">
        <v>633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7129</v>
      </c>
      <c r="G642" s="103" t="s">
        <v>4330</v>
      </c>
      <c r="H642" s="103" t="s">
        <v>4331</v>
      </c>
      <c r="I642" s="142" t="s">
        <v>4343</v>
      </c>
      <c r="J642" s="149" t="s">
        <v>7130</v>
      </c>
      <c r="K642" s="149" t="s">
        <v>7131</v>
      </c>
      <c r="L642" s="149" t="s">
        <v>7132</v>
      </c>
      <c r="M642" s="103" t="s">
        <v>4333</v>
      </c>
      <c r="N642" s="103" t="s">
        <v>4345</v>
      </c>
      <c r="O642" s="108">
        <v>46007</v>
      </c>
      <c r="P642" s="108">
        <v>46031</v>
      </c>
      <c r="Q642" s="105" t="s">
        <v>4436</v>
      </c>
      <c r="R642" s="108">
        <v>46030</v>
      </c>
      <c r="S642" s="108">
        <v>46031</v>
      </c>
      <c r="T642" s="108">
        <v>46036</v>
      </c>
      <c r="U642" s="108">
        <v>46045</v>
      </c>
      <c r="V642" s="108" t="s">
        <v>4437</v>
      </c>
      <c r="W642" s="108" t="s">
        <v>4437</v>
      </c>
      <c r="X642" s="105">
        <v>46055</v>
      </c>
      <c r="Y642" s="105">
        <v>46057</v>
      </c>
      <c r="Z642" s="108"/>
      <c r="AA642" s="112"/>
      <c r="AB642" s="149" t="s">
        <v>7130</v>
      </c>
      <c r="AC642" s="149" t="s">
        <v>7131</v>
      </c>
      <c r="AD642" s="149" t="s">
        <v>7132</v>
      </c>
      <c r="AE642" s="165" t="s">
        <v>4343</v>
      </c>
      <c r="AF642" s="165" t="s">
        <v>4333</v>
      </c>
      <c r="AG642" s="194" t="s">
        <v>4356</v>
      </c>
      <c r="AH642" s="194" t="s">
        <v>4356</v>
      </c>
      <c r="AI642" s="103" t="s">
        <v>4355</v>
      </c>
      <c r="AJ642" s="104" t="s">
        <v>4438</v>
      </c>
      <c r="AK642" s="103"/>
      <c r="AL642" s="103"/>
      <c r="AM642" s="103"/>
      <c r="AN642" s="103"/>
      <c r="AO642" s="112"/>
      <c r="AP642" s="171"/>
      <c r="AQ642" s="112"/>
      <c r="AR642" s="112"/>
      <c r="AS642" s="112"/>
      <c r="AT642" s="112"/>
      <c r="AU642" s="112"/>
      <c r="AV642" s="112"/>
      <c r="AW642" s="112"/>
      <c r="AX642" s="112"/>
      <c r="AY642" s="166"/>
      <c r="AZ642" s="108"/>
      <c r="BA642" s="112"/>
      <c r="BB642" s="112"/>
      <c r="BC642" s="220" t="str">
        <f t="shared" si="72"/>
        <v/>
      </c>
      <c r="BD642" s="103" t="str">
        <f t="shared" si="73"/>
        <v>AA</v>
      </c>
      <c r="BE642" s="103" t="str">
        <f t="shared" si="74"/>
        <v>NÃO</v>
      </c>
      <c r="BF642" s="112"/>
      <c r="BG642" s="147"/>
      <c r="BH642" s="147"/>
      <c r="BI642" s="112"/>
      <c r="BJ642" s="112"/>
      <c r="BK642" s="112"/>
      <c r="BL642" s="112"/>
      <c r="BM642" s="236"/>
    </row>
    <row r="643" spans="1:66" ht="30" customHeight="1">
      <c r="A643" s="103">
        <v>634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7133</v>
      </c>
      <c r="G643" s="103" t="s">
        <v>4330</v>
      </c>
      <c r="H643" s="103" t="s">
        <v>4331</v>
      </c>
      <c r="I643" s="142" t="s">
        <v>4343</v>
      </c>
      <c r="J643" s="149" t="s">
        <v>7134</v>
      </c>
      <c r="K643" s="149" t="s">
        <v>7135</v>
      </c>
      <c r="L643" s="149" t="s">
        <v>7136</v>
      </c>
      <c r="M643" s="103" t="s">
        <v>4333</v>
      </c>
      <c r="N643" s="103" t="s">
        <v>4345</v>
      </c>
      <c r="O643" s="105">
        <v>45996</v>
      </c>
      <c r="P643" s="105">
        <v>46002</v>
      </c>
      <c r="Q643" s="105" t="s">
        <v>4436</v>
      </c>
      <c r="R643" s="105">
        <v>45999</v>
      </c>
      <c r="S643" s="105">
        <v>46006</v>
      </c>
      <c r="T643" s="105">
        <v>46006</v>
      </c>
      <c r="U643" s="105">
        <v>46009</v>
      </c>
      <c r="V643" s="105" t="s">
        <v>4437</v>
      </c>
      <c r="W643" s="105" t="s">
        <v>4437</v>
      </c>
      <c r="X643" s="105">
        <v>46014</v>
      </c>
      <c r="Y643" s="105">
        <v>46020</v>
      </c>
      <c r="Z643" s="105"/>
      <c r="AA643" s="103"/>
      <c r="AB643" s="149" t="s">
        <v>7134</v>
      </c>
      <c r="AC643" s="149" t="s">
        <v>7135</v>
      </c>
      <c r="AD643" s="149" t="s">
        <v>7136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</row>
    <row r="644" spans="1:66" ht="30" customHeight="1">
      <c r="A644" s="165">
        <v>635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7137</v>
      </c>
      <c r="G644" s="103" t="s">
        <v>4330</v>
      </c>
      <c r="H644" s="103" t="s">
        <v>4331</v>
      </c>
      <c r="I644" s="142" t="s">
        <v>4343</v>
      </c>
      <c r="J644" s="149" t="s">
        <v>7138</v>
      </c>
      <c r="K644" s="149" t="s">
        <v>7139</v>
      </c>
      <c r="L644" s="149" t="s">
        <v>7140</v>
      </c>
      <c r="M644" s="103" t="s">
        <v>4333</v>
      </c>
      <c r="N644" s="103" t="s">
        <v>4345</v>
      </c>
      <c r="O644" s="105">
        <v>45986</v>
      </c>
      <c r="P644" s="105">
        <v>46002</v>
      </c>
      <c r="Q644" s="105" t="s">
        <v>4436</v>
      </c>
      <c r="R644" s="105">
        <v>45999</v>
      </c>
      <c r="S644" s="105">
        <v>46006</v>
      </c>
      <c r="T644" s="105">
        <v>46006</v>
      </c>
      <c r="U644" s="105">
        <v>46009</v>
      </c>
      <c r="V644" s="105" t="s">
        <v>4437</v>
      </c>
      <c r="W644" s="105" t="s">
        <v>4437</v>
      </c>
      <c r="X644" s="105">
        <v>46014</v>
      </c>
      <c r="Y644" s="105">
        <v>46020</v>
      </c>
      <c r="Z644" s="105"/>
      <c r="AA644" s="103"/>
      <c r="AB644" s="149" t="s">
        <v>7138</v>
      </c>
      <c r="AC644" s="149" t="s">
        <v>7139</v>
      </c>
      <c r="AD644" s="149" t="s">
        <v>7140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03"/>
      <c r="AP644" s="171"/>
      <c r="AQ644" s="103"/>
      <c r="AR644" s="103"/>
      <c r="AS644" s="103"/>
      <c r="AT644" s="103"/>
      <c r="AU644" s="105"/>
      <c r="AV644" s="112"/>
      <c r="AW644" s="103"/>
      <c r="AX644" s="105"/>
      <c r="AY644" s="166"/>
      <c r="AZ644" s="105"/>
      <c r="BA644" s="103"/>
      <c r="BB644" s="136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40"/>
      <c r="BG644" s="140"/>
      <c r="BH644" s="140"/>
      <c r="BI644" s="140"/>
      <c r="BJ644" s="140"/>
      <c r="BK644" s="140"/>
      <c r="BL644" s="140"/>
      <c r="BM644" s="238"/>
    </row>
    <row r="645" spans="1:66" ht="30" customHeight="1">
      <c r="A645" s="165">
        <v>636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4345</v>
      </c>
      <c r="O645" s="105">
        <v>45988</v>
      </c>
      <c r="P645" s="105">
        <v>46065</v>
      </c>
      <c r="Q645" s="108" t="s">
        <v>4436</v>
      </c>
      <c r="R645" s="105">
        <v>46072</v>
      </c>
      <c r="S645" s="108">
        <v>46072</v>
      </c>
      <c r="T645" s="108">
        <v>46080</v>
      </c>
      <c r="U645" s="105">
        <v>46083</v>
      </c>
      <c r="V645" s="105" t="s">
        <v>4437</v>
      </c>
      <c r="W645" s="105" t="s">
        <v>4437</v>
      </c>
      <c r="X645" s="108">
        <v>46055</v>
      </c>
      <c r="Y645" s="108">
        <v>46091</v>
      </c>
      <c r="Z645" s="105"/>
      <c r="AA645" s="103"/>
      <c r="AB645" s="149" t="s">
        <v>7142</v>
      </c>
      <c r="AC645" s="149" t="s">
        <v>7143</v>
      </c>
      <c r="AD645" s="149" t="s">
        <v>7144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637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7145</v>
      </c>
      <c r="G646" s="103" t="s">
        <v>4330</v>
      </c>
      <c r="H646" s="103" t="s">
        <v>4331</v>
      </c>
      <c r="I646" s="142" t="s">
        <v>4343</v>
      </c>
      <c r="J646" s="149" t="s">
        <v>7146</v>
      </c>
      <c r="K646" s="149" t="s">
        <v>7147</v>
      </c>
      <c r="L646" s="149" t="s">
        <v>7148</v>
      </c>
      <c r="M646" s="103" t="s">
        <v>4333</v>
      </c>
      <c r="N646" s="103" t="s">
        <v>4345</v>
      </c>
      <c r="O646" s="105">
        <v>45996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7146</v>
      </c>
      <c r="AC646" s="149" t="s">
        <v>7147</v>
      </c>
      <c r="AD646" s="149" t="s">
        <v>7148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98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03">
        <v>638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7149</v>
      </c>
      <c r="G647" s="112" t="s">
        <v>4341</v>
      </c>
      <c r="H647" s="103" t="s">
        <v>4351</v>
      </c>
      <c r="I647" s="153" t="s">
        <v>4332</v>
      </c>
      <c r="J647" s="149" t="s">
        <v>7150</v>
      </c>
      <c r="K647" s="149" t="s">
        <v>7151</v>
      </c>
      <c r="L647" s="149" t="s">
        <v>7152</v>
      </c>
      <c r="M647" s="103" t="s">
        <v>4333</v>
      </c>
      <c r="N647" s="103" t="s">
        <v>4459</v>
      </c>
      <c r="O647" s="105">
        <v>46106</v>
      </c>
      <c r="P647" s="105" t="s">
        <v>4356</v>
      </c>
      <c r="Q647" s="105" t="s">
        <v>4356</v>
      </c>
      <c r="R647" s="105" t="s">
        <v>4356</v>
      </c>
      <c r="S647" s="105" t="s">
        <v>4356</v>
      </c>
      <c r="T647" s="105" t="s">
        <v>4356</v>
      </c>
      <c r="U647" s="105" t="s">
        <v>4356</v>
      </c>
      <c r="V647" s="105" t="s">
        <v>4356</v>
      </c>
      <c r="W647" s="105" t="s">
        <v>4356</v>
      </c>
      <c r="X647" s="105" t="s">
        <v>4356</v>
      </c>
      <c r="Y647" s="105" t="s">
        <v>4356</v>
      </c>
      <c r="Z647" s="105"/>
      <c r="AA647" s="105"/>
      <c r="AB647" s="149" t="s">
        <v>7150</v>
      </c>
      <c r="AC647" s="149" t="s">
        <v>7151</v>
      </c>
      <c r="AD647" s="149" t="s">
        <v>7152</v>
      </c>
      <c r="AE647" s="153" t="s">
        <v>4332</v>
      </c>
      <c r="AF647" s="103" t="s">
        <v>4333</v>
      </c>
      <c r="AG647" s="194">
        <v>9923.85</v>
      </c>
      <c r="AH647" s="194">
        <v>9923.85</v>
      </c>
      <c r="AI647" s="103" t="s">
        <v>4336</v>
      </c>
      <c r="AJ647" s="104" t="s">
        <v>4438</v>
      </c>
      <c r="AK647" s="103">
        <v>151380424</v>
      </c>
      <c r="AL647" s="142" t="s">
        <v>4338</v>
      </c>
      <c r="AM647" s="103" t="s">
        <v>4338</v>
      </c>
      <c r="AN647" s="103" t="s">
        <v>4339</v>
      </c>
      <c r="AO647" s="103"/>
      <c r="AP647" s="171" t="s">
        <v>7153</v>
      </c>
      <c r="AQ647" s="224" t="s">
        <v>4338</v>
      </c>
      <c r="AR647" s="143" t="s">
        <v>4338</v>
      </c>
      <c r="AS647" s="103" t="s">
        <v>4338</v>
      </c>
      <c r="AT647" s="103" t="s">
        <v>4338</v>
      </c>
      <c r="AU647" s="105">
        <v>46150</v>
      </c>
      <c r="AV647" s="103" t="s">
        <v>4338</v>
      </c>
      <c r="AW647" s="103" t="s">
        <v>4338</v>
      </c>
      <c r="AX647" s="105">
        <v>46157</v>
      </c>
      <c r="AY647" s="106">
        <v>46157</v>
      </c>
      <c r="AZ647" s="106" t="s">
        <v>4453</v>
      </c>
      <c r="BA647" s="174" t="s">
        <v>4454</v>
      </c>
      <c r="BB647" s="136" t="s">
        <v>4338</v>
      </c>
      <c r="BC647" s="220">
        <f t="shared" si="72"/>
        <v>51</v>
      </c>
      <c r="BD647" s="103" t="str">
        <f t="shared" si="73"/>
        <v>INDENIZAÇÃO</v>
      </c>
      <c r="BE647" s="103" t="str">
        <f t="shared" si="74"/>
        <v>NÃO</v>
      </c>
      <c r="BF647" s="140" t="s">
        <v>4357</v>
      </c>
      <c r="BG647" s="140" t="s">
        <v>4357</v>
      </c>
      <c r="BH647" s="140" t="s">
        <v>4357</v>
      </c>
      <c r="BI647" s="154" t="s">
        <v>5393</v>
      </c>
      <c r="BJ647" s="154"/>
      <c r="BK647" s="154"/>
      <c r="BL647" s="154"/>
      <c r="BM647" s="237"/>
      <c r="BN647" s="231"/>
    </row>
    <row r="648" spans="1:66" ht="30" customHeight="1">
      <c r="A648" s="103">
        <v>639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98" t="s">
        <v>4330</v>
      </c>
      <c r="H648" s="103" t="s">
        <v>4331</v>
      </c>
      <c r="I648" s="246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46041</v>
      </c>
      <c r="P648" s="108">
        <v>46044</v>
      </c>
      <c r="Q648" s="108" t="s">
        <v>4436</v>
      </c>
      <c r="R648" s="108">
        <v>46043</v>
      </c>
      <c r="S648" s="108">
        <v>46044</v>
      </c>
      <c r="T648" s="108">
        <v>46045</v>
      </c>
      <c r="U648" s="108">
        <v>46155</v>
      </c>
      <c r="V648" s="105" t="s">
        <v>4437</v>
      </c>
      <c r="W648" s="105" t="s">
        <v>4437</v>
      </c>
      <c r="X648" s="105">
        <v>46055</v>
      </c>
      <c r="Y648" s="105">
        <v>46087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640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45980</v>
      </c>
      <c r="P649" s="105">
        <v>45986</v>
      </c>
      <c r="Q649" s="108" t="s">
        <v>4436</v>
      </c>
      <c r="R649" s="108">
        <v>45985</v>
      </c>
      <c r="S649" s="108">
        <v>45986</v>
      </c>
      <c r="T649" s="108">
        <v>45987</v>
      </c>
      <c r="U649" s="108">
        <v>45992</v>
      </c>
      <c r="V649" s="105" t="s">
        <v>4437</v>
      </c>
      <c r="W649" s="105" t="s">
        <v>4437</v>
      </c>
      <c r="X649" s="105">
        <v>45999</v>
      </c>
      <c r="Y649" s="105">
        <v>46001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212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 t="s">
        <v>4356</v>
      </c>
      <c r="AT649" s="103" t="s">
        <v>4356</v>
      </c>
      <c r="AU649" s="103" t="s">
        <v>4356</v>
      </c>
      <c r="AV649" s="103" t="s">
        <v>4356</v>
      </c>
      <c r="AW649" s="103"/>
      <c r="AX649" s="105"/>
      <c r="AY649" s="166"/>
      <c r="AZ649" s="105"/>
      <c r="BA649" s="103"/>
      <c r="BB649" s="136"/>
      <c r="BC649" s="220" t="str">
        <f t="shared" si="72"/>
        <v/>
      </c>
      <c r="BD649" s="103" t="str">
        <f t="shared" si="73"/>
        <v>AA</v>
      </c>
      <c r="BE649" s="103" t="str">
        <f t="shared" si="7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6" ht="30" customHeight="1">
      <c r="A650" s="165">
        <v>641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6993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45980</v>
      </c>
      <c r="P650" s="105">
        <v>46002</v>
      </c>
      <c r="Q650" s="105" t="s">
        <v>4436</v>
      </c>
      <c r="R650" s="105">
        <v>45999</v>
      </c>
      <c r="S650" s="105">
        <v>46006</v>
      </c>
      <c r="T650" s="105">
        <v>46006</v>
      </c>
      <c r="U650" s="105">
        <v>46009</v>
      </c>
      <c r="V650" s="105" t="s">
        <v>4437</v>
      </c>
      <c r="W650" s="105" t="s">
        <v>4437</v>
      </c>
      <c r="X650" s="105">
        <v>46014</v>
      </c>
      <c r="Y650" s="105">
        <v>46024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65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98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65">
        <v>642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4440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46094</v>
      </c>
      <c r="P651" s="105">
        <v>46217</v>
      </c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9" t="s">
        <v>7170</v>
      </c>
      <c r="AC651" s="149" t="s">
        <v>7171</v>
      </c>
      <c r="AD651" s="149" t="s">
        <v>7172</v>
      </c>
      <c r="AE651" s="142" t="s">
        <v>4332</v>
      </c>
      <c r="AF651" s="142" t="s">
        <v>4343</v>
      </c>
      <c r="AG651" s="194">
        <v>117246.92</v>
      </c>
      <c r="AH651" s="194">
        <v>117246.92</v>
      </c>
      <c r="AI651" s="103" t="s">
        <v>4447</v>
      </c>
      <c r="AJ651" s="104" t="s">
        <v>4438</v>
      </c>
      <c r="AK651" s="103">
        <v>151553351</v>
      </c>
      <c r="AL651" s="142" t="s">
        <v>4338</v>
      </c>
      <c r="AM651" s="103" t="s">
        <v>4338</v>
      </c>
      <c r="AN651" s="103" t="s">
        <v>4339</v>
      </c>
      <c r="AO651" s="112"/>
      <c r="AP651" s="171" t="s">
        <v>7173</v>
      </c>
      <c r="AQ651" s="103" t="s">
        <v>4338</v>
      </c>
      <c r="AR651" s="103" t="s">
        <v>4338</v>
      </c>
      <c r="AS651" s="103" t="s">
        <v>4338</v>
      </c>
      <c r="AT651" s="103" t="s">
        <v>4338</v>
      </c>
      <c r="AU651" s="105">
        <v>46170</v>
      </c>
      <c r="AV651" s="103" t="s">
        <v>4338</v>
      </c>
      <c r="AW651" s="103" t="s">
        <v>4338</v>
      </c>
      <c r="AX651" s="105">
        <v>46182</v>
      </c>
      <c r="AY651" s="106">
        <v>46179</v>
      </c>
      <c r="AZ651" s="106" t="s">
        <v>4453</v>
      </c>
      <c r="BA651" s="107" t="s">
        <v>4454</v>
      </c>
      <c r="BB651" s="112" t="s">
        <v>4338</v>
      </c>
      <c r="BC651" s="220">
        <f t="shared" si="72"/>
        <v>85</v>
      </c>
      <c r="BD651" s="103" t="str">
        <f t="shared" si="73"/>
        <v>INDENIZAÇÃO</v>
      </c>
      <c r="BE651" s="103" t="str">
        <f t="shared" si="74"/>
        <v>NÃO</v>
      </c>
      <c r="BF651" s="112" t="s">
        <v>4357</v>
      </c>
      <c r="BG651" s="112" t="s">
        <v>4357</v>
      </c>
      <c r="BH651" s="112" t="s">
        <v>4357</v>
      </c>
      <c r="BI651" s="154" t="s">
        <v>5393</v>
      </c>
      <c r="BJ651" s="109"/>
      <c r="BK651" s="109"/>
      <c r="BL651" s="109"/>
      <c r="BM651" s="239"/>
    </row>
    <row r="652" spans="1:66" ht="30" customHeight="1">
      <c r="A652" s="165">
        <v>643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7174</v>
      </c>
      <c r="G652" s="103" t="s">
        <v>4330</v>
      </c>
      <c r="H652" s="103" t="s">
        <v>4331</v>
      </c>
      <c r="I652" s="142" t="s">
        <v>4343</v>
      </c>
      <c r="J652" s="149" t="s">
        <v>7175</v>
      </c>
      <c r="K652" s="149" t="s">
        <v>7176</v>
      </c>
      <c r="L652" s="149" t="s">
        <v>7177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7175</v>
      </c>
      <c r="AC652" s="149" t="s">
        <v>7176</v>
      </c>
      <c r="AD652" s="149" t="s">
        <v>7177</v>
      </c>
      <c r="AE652" s="165" t="s">
        <v>4343</v>
      </c>
      <c r="AF652" s="165" t="s">
        <v>4333</v>
      </c>
      <c r="AG652" s="208">
        <v>208913.76</v>
      </c>
      <c r="AH652" s="208">
        <v>208913.76</v>
      </c>
      <c r="AI652" s="165" t="s">
        <v>4447</v>
      </c>
      <c r="AJ652" s="104" t="s">
        <v>4438</v>
      </c>
      <c r="AK652" s="103">
        <v>153362453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7178</v>
      </c>
      <c r="AQ652" s="103" t="s">
        <v>4338</v>
      </c>
      <c r="AR652" s="103" t="s">
        <v>4338</v>
      </c>
      <c r="AS652" s="103" t="s">
        <v>4338</v>
      </c>
      <c r="AT652" s="103" t="s">
        <v>4338</v>
      </c>
      <c r="AU652" s="105">
        <v>46153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72"/>
        <v>51</v>
      </c>
      <c r="BD652" s="103" t="str">
        <f t="shared" si="73"/>
        <v>INDENIZAÇÃO</v>
      </c>
      <c r="BE652" s="103" t="str">
        <f t="shared" si="74"/>
        <v>NÃO</v>
      </c>
      <c r="BF652" s="140" t="s">
        <v>4357</v>
      </c>
      <c r="BG652" s="140" t="s">
        <v>4357</v>
      </c>
      <c r="BH652" s="140" t="s">
        <v>4357</v>
      </c>
      <c r="BI652" s="154" t="s">
        <v>5393</v>
      </c>
      <c r="BJ652" s="154"/>
      <c r="BK652" s="154"/>
      <c r="BL652" s="154"/>
      <c r="BM652" s="237"/>
      <c r="BN652" s="231"/>
    </row>
    <row r="653" spans="1:66" ht="30" customHeight="1">
      <c r="A653" s="103">
        <v>644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7179</v>
      </c>
      <c r="G653" s="103" t="s">
        <v>4330</v>
      </c>
      <c r="H653" s="103" t="s">
        <v>4331</v>
      </c>
      <c r="I653" s="142" t="s">
        <v>4343</v>
      </c>
      <c r="J653" s="149" t="s">
        <v>7180</v>
      </c>
      <c r="K653" s="149" t="s">
        <v>7181</v>
      </c>
      <c r="L653" s="149" t="s">
        <v>7182</v>
      </c>
      <c r="M653" s="103" t="s">
        <v>4333</v>
      </c>
      <c r="N653" s="103" t="s">
        <v>4345</v>
      </c>
      <c r="O653" s="105">
        <v>45996</v>
      </c>
      <c r="P653" s="105">
        <v>46002</v>
      </c>
      <c r="Q653" s="105" t="s">
        <v>4436</v>
      </c>
      <c r="R653" s="105">
        <v>45999</v>
      </c>
      <c r="S653" s="105">
        <v>46006</v>
      </c>
      <c r="T653" s="105">
        <v>46006</v>
      </c>
      <c r="U653" s="105">
        <v>46009</v>
      </c>
      <c r="V653" s="105" t="s">
        <v>4437</v>
      </c>
      <c r="W653" s="105" t="s">
        <v>4437</v>
      </c>
      <c r="X653" s="105">
        <v>46014</v>
      </c>
      <c r="Y653" s="105">
        <v>46020</v>
      </c>
      <c r="Z653" s="105"/>
      <c r="AA653" s="103"/>
      <c r="AB653" s="149" t="s">
        <v>7180</v>
      </c>
      <c r="AC653" s="149" t="s">
        <v>7181</v>
      </c>
      <c r="AD653" s="149" t="s">
        <v>7182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65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72"/>
        <v/>
      </c>
      <c r="BD653" s="103" t="str">
        <f t="shared" si="73"/>
        <v>AA</v>
      </c>
      <c r="BE653" s="103" t="str">
        <f t="shared" si="7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6" ht="30" customHeight="1">
      <c r="A654" s="103">
        <v>645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7183</v>
      </c>
      <c r="G654" s="103" t="s">
        <v>4330</v>
      </c>
      <c r="H654" s="103" t="s">
        <v>4331</v>
      </c>
      <c r="I654" s="142" t="s">
        <v>4440</v>
      </c>
      <c r="J654" s="149" t="s">
        <v>7184</v>
      </c>
      <c r="K654" s="149" t="s">
        <v>6575</v>
      </c>
      <c r="L654" s="149" t="s">
        <v>7185</v>
      </c>
      <c r="M654" s="103" t="s">
        <v>4333</v>
      </c>
      <c r="N654" s="103" t="s">
        <v>4345</v>
      </c>
      <c r="O654" s="105">
        <v>46079</v>
      </c>
      <c r="P654" s="105">
        <v>46002</v>
      </c>
      <c r="Q654" s="105" t="s">
        <v>4436</v>
      </c>
      <c r="R654" s="105">
        <v>45999</v>
      </c>
      <c r="S654" s="105">
        <v>46006</v>
      </c>
      <c r="T654" s="105">
        <v>46006</v>
      </c>
      <c r="U654" s="105">
        <v>46009</v>
      </c>
      <c r="V654" s="105" t="s">
        <v>4437</v>
      </c>
      <c r="W654" s="105" t="s">
        <v>4437</v>
      </c>
      <c r="X654" s="105">
        <v>46014</v>
      </c>
      <c r="Y654" s="105">
        <v>46020</v>
      </c>
      <c r="Z654" s="105"/>
      <c r="AA654" s="103"/>
      <c r="AB654" s="149" t="s">
        <v>7186</v>
      </c>
      <c r="AC654" s="149" t="s">
        <v>7187</v>
      </c>
      <c r="AD654" s="149" t="s">
        <v>7188</v>
      </c>
      <c r="AE654" s="142" t="s">
        <v>4332</v>
      </c>
      <c r="AF654" s="103" t="s">
        <v>4333</v>
      </c>
      <c r="AG654" s="194">
        <v>24631.83</v>
      </c>
      <c r="AH654" s="194">
        <v>24631.83</v>
      </c>
      <c r="AI654" s="103" t="s">
        <v>4336</v>
      </c>
      <c r="AJ654" s="104" t="s">
        <v>4438</v>
      </c>
      <c r="AK654" s="103">
        <v>150959722</v>
      </c>
      <c r="AL654" s="103" t="s">
        <v>4338</v>
      </c>
      <c r="AM654" s="103" t="s">
        <v>4338</v>
      </c>
      <c r="AN654" s="103" t="s">
        <v>4339</v>
      </c>
      <c r="AO654" s="103"/>
      <c r="AP654" s="171" t="s">
        <v>7189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46210</v>
      </c>
      <c r="AY654" s="106">
        <v>46210</v>
      </c>
      <c r="AZ654" s="276" t="s">
        <v>4453</v>
      </c>
      <c r="BA654" s="107" t="s">
        <v>4454</v>
      </c>
      <c r="BB654" s="136" t="s">
        <v>4338</v>
      </c>
      <c r="BC654" s="220">
        <f t="shared" si="72"/>
        <v>131</v>
      </c>
      <c r="BD654" s="103" t="str">
        <f t="shared" si="73"/>
        <v>INDENIZAÇÃO</v>
      </c>
      <c r="BE654" s="103" t="str">
        <f t="shared" si="74"/>
        <v>NÃO</v>
      </c>
      <c r="BF654" s="140" t="s">
        <v>4357</v>
      </c>
      <c r="BG654" s="140" t="s">
        <v>4357</v>
      </c>
      <c r="BH654" s="140" t="s">
        <v>4357</v>
      </c>
      <c r="BI654" s="154" t="s">
        <v>5393</v>
      </c>
      <c r="BJ654" s="154"/>
      <c r="BK654" s="154"/>
      <c r="BL654" s="154"/>
      <c r="BM654" s="237"/>
    </row>
    <row r="655" spans="1:66" ht="30" customHeight="1">
      <c r="A655" s="103">
        <v>646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7190</v>
      </c>
      <c r="G655" s="103" t="s">
        <v>4330</v>
      </c>
      <c r="H655" s="103" t="s">
        <v>4331</v>
      </c>
      <c r="I655" s="142" t="s">
        <v>4343</v>
      </c>
      <c r="J655" s="149" t="s">
        <v>7191</v>
      </c>
      <c r="K655" s="149" t="s">
        <v>7192</v>
      </c>
      <c r="L655" s="149" t="s">
        <v>7193</v>
      </c>
      <c r="M655" s="103" t="s">
        <v>4333</v>
      </c>
      <c r="N655" s="103" t="s">
        <v>4459</v>
      </c>
      <c r="O655" s="105">
        <v>45996</v>
      </c>
      <c r="P655" s="105" t="s">
        <v>4356</v>
      </c>
      <c r="Q655" s="105" t="s">
        <v>4356</v>
      </c>
      <c r="R655" s="105" t="s">
        <v>4356</v>
      </c>
      <c r="S655" s="105" t="s">
        <v>4356</v>
      </c>
      <c r="T655" s="105" t="s">
        <v>4356</v>
      </c>
      <c r="U655" s="105" t="s">
        <v>4356</v>
      </c>
      <c r="V655" s="105" t="s">
        <v>4356</v>
      </c>
      <c r="W655" s="105" t="s">
        <v>4356</v>
      </c>
      <c r="X655" s="105" t="s">
        <v>4356</v>
      </c>
      <c r="Y655" s="105" t="s">
        <v>4356</v>
      </c>
      <c r="Z655" s="105"/>
      <c r="AA655" s="105"/>
      <c r="AB655" s="149" t="s">
        <v>7191</v>
      </c>
      <c r="AC655" s="149" t="s">
        <v>7192</v>
      </c>
      <c r="AD655" s="149" t="s">
        <v>7193</v>
      </c>
      <c r="AE655" s="103" t="s">
        <v>4343</v>
      </c>
      <c r="AF655" s="103" t="s">
        <v>4333</v>
      </c>
      <c r="AG655" s="194"/>
      <c r="AH655" s="194"/>
      <c r="AI655" s="103"/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65"/>
      <c r="AU655" s="105"/>
      <c r="AV655" s="112"/>
      <c r="AW655" s="165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INDENIZAÇÃO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65">
        <v>647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7194</v>
      </c>
      <c r="G656" s="103" t="s">
        <v>4330</v>
      </c>
      <c r="H656" s="103" t="s">
        <v>4331</v>
      </c>
      <c r="I656" s="142" t="s">
        <v>4343</v>
      </c>
      <c r="J656" s="149" t="s">
        <v>7195</v>
      </c>
      <c r="K656" s="149" t="s">
        <v>7196</v>
      </c>
      <c r="L656" s="149" t="s">
        <v>7197</v>
      </c>
      <c r="M656" s="103" t="s">
        <v>4333</v>
      </c>
      <c r="N656" s="103" t="s">
        <v>4459</v>
      </c>
      <c r="O656" s="105">
        <v>46002</v>
      </c>
      <c r="P656" s="105" t="s">
        <v>4356</v>
      </c>
      <c r="Q656" s="105" t="s">
        <v>4356</v>
      </c>
      <c r="R656" s="105" t="s">
        <v>4356</v>
      </c>
      <c r="S656" s="105" t="s">
        <v>4356</v>
      </c>
      <c r="T656" s="105" t="s">
        <v>4356</v>
      </c>
      <c r="U656" s="105" t="s">
        <v>4356</v>
      </c>
      <c r="V656" s="105" t="s">
        <v>4356</v>
      </c>
      <c r="W656" s="105" t="s">
        <v>4356</v>
      </c>
      <c r="X656" s="105" t="s">
        <v>4356</v>
      </c>
      <c r="Y656" s="105" t="s">
        <v>4356</v>
      </c>
      <c r="Z656" s="105"/>
      <c r="AA656" s="105"/>
      <c r="AB656" s="149" t="s">
        <v>7195</v>
      </c>
      <c r="AC656" s="149" t="s">
        <v>7196</v>
      </c>
      <c r="AD656" s="149" t="s">
        <v>7197</v>
      </c>
      <c r="AE656" s="103" t="s">
        <v>4343</v>
      </c>
      <c r="AF656" s="103" t="s">
        <v>4333</v>
      </c>
      <c r="AG656" s="194">
        <v>25529.98</v>
      </c>
      <c r="AH656" s="194">
        <f>AG656+30000</f>
        <v>55529.979999999996</v>
      </c>
      <c r="AI656" s="103" t="s">
        <v>4336</v>
      </c>
      <c r="AJ656" s="104" t="s">
        <v>4438</v>
      </c>
      <c r="AK656" s="103">
        <v>150614435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7198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46128</v>
      </c>
      <c r="AV656" s="103" t="s">
        <v>4338</v>
      </c>
      <c r="AW656" s="103" t="s">
        <v>4338</v>
      </c>
      <c r="AX656" s="105">
        <v>46139</v>
      </c>
      <c r="AY656" s="106">
        <v>46139</v>
      </c>
      <c r="AZ656" s="106" t="s">
        <v>4453</v>
      </c>
      <c r="BA656" s="174" t="s">
        <v>4454</v>
      </c>
      <c r="BB656" s="136" t="s">
        <v>4338</v>
      </c>
      <c r="BC656" s="220">
        <f t="shared" si="72"/>
        <v>137</v>
      </c>
      <c r="BD656" s="103" t="str">
        <f t="shared" si="73"/>
        <v>INDENIZAÇÃO</v>
      </c>
      <c r="BE656" s="103" t="str">
        <f t="shared" si="74"/>
        <v>NÃO</v>
      </c>
      <c r="BF656" s="112" t="s">
        <v>4357</v>
      </c>
      <c r="BG656" s="112" t="s">
        <v>4357</v>
      </c>
      <c r="BH656" s="112" t="s">
        <v>4357</v>
      </c>
      <c r="BI656" s="109" t="s">
        <v>5393</v>
      </c>
      <c r="BJ656" s="109"/>
      <c r="BK656" s="109"/>
      <c r="BL656" s="109"/>
      <c r="BM656" s="239"/>
      <c r="BN656" s="231"/>
    </row>
    <row r="657" spans="1:69" ht="30" customHeight="1">
      <c r="A657" s="165">
        <v>648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46045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>
        <v>1249.72</v>
      </c>
      <c r="AH657" s="194">
        <f>AG657+30000</f>
        <v>31249.72</v>
      </c>
      <c r="AI657" s="103" t="s">
        <v>4336</v>
      </c>
      <c r="AJ657" s="104" t="s">
        <v>4438</v>
      </c>
      <c r="AK657" s="103">
        <v>148267354</v>
      </c>
      <c r="AL657" s="103" t="s">
        <v>4338</v>
      </c>
      <c r="AM657" s="103" t="s">
        <v>4338</v>
      </c>
      <c r="AN657" s="103" t="s">
        <v>4339</v>
      </c>
      <c r="AO657" s="103"/>
      <c r="AP657" s="171" t="s">
        <v>7203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46084</v>
      </c>
      <c r="AV657" s="112" t="s">
        <v>4338</v>
      </c>
      <c r="AW657" s="112" t="s">
        <v>4338</v>
      </c>
      <c r="AX657" s="111">
        <v>46092</v>
      </c>
      <c r="AY657" s="157">
        <v>46092</v>
      </c>
      <c r="AZ657" s="157" t="s">
        <v>4453</v>
      </c>
      <c r="BA657" s="174" t="s">
        <v>4454</v>
      </c>
      <c r="BB657" s="136" t="s">
        <v>4338</v>
      </c>
      <c r="BC657" s="220">
        <f t="shared" si="72"/>
        <v>47</v>
      </c>
      <c r="BD657" s="103" t="str">
        <f t="shared" si="73"/>
        <v>INDENIZAÇÃO</v>
      </c>
      <c r="BE657" s="103" t="str">
        <f t="shared" si="74"/>
        <v>NÃO</v>
      </c>
      <c r="BF657" s="140" t="s">
        <v>4357</v>
      </c>
      <c r="BG657" s="140" t="s">
        <v>4357</v>
      </c>
      <c r="BH657" s="140" t="s">
        <v>4357</v>
      </c>
      <c r="BI657" s="154" t="s">
        <v>5393</v>
      </c>
      <c r="BJ657" s="154"/>
      <c r="BK657" s="154"/>
      <c r="BL657" s="154"/>
      <c r="BM657" s="237"/>
      <c r="BN657" s="231"/>
    </row>
    <row r="658" spans="1:69" ht="30" customHeight="1">
      <c r="A658" s="165">
        <v>649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7204</v>
      </c>
      <c r="G658" s="103" t="s">
        <v>4330</v>
      </c>
      <c r="H658" s="103" t="s">
        <v>4331</v>
      </c>
      <c r="I658" s="142" t="s">
        <v>4343</v>
      </c>
      <c r="J658" s="114" t="s">
        <v>7205</v>
      </c>
      <c r="K658" s="149" t="s">
        <v>7206</v>
      </c>
      <c r="L658" s="149" t="s">
        <v>7207</v>
      </c>
      <c r="M658" s="103" t="s">
        <v>4333</v>
      </c>
      <c r="N658" s="103" t="s">
        <v>4345</v>
      </c>
      <c r="O658" s="105">
        <v>46091</v>
      </c>
      <c r="P658" s="108">
        <v>46090</v>
      </c>
      <c r="Q658" s="105" t="s">
        <v>4436</v>
      </c>
      <c r="R658" s="105">
        <v>46090</v>
      </c>
      <c r="S658" s="105">
        <v>46099</v>
      </c>
      <c r="T658" s="105">
        <v>46101</v>
      </c>
      <c r="U658" s="105">
        <v>46118</v>
      </c>
      <c r="V658" s="105" t="s">
        <v>4437</v>
      </c>
      <c r="W658" s="105" t="s">
        <v>4437</v>
      </c>
      <c r="X658" s="105">
        <v>46118</v>
      </c>
      <c r="Y658" s="105">
        <v>46140</v>
      </c>
      <c r="Z658" s="105"/>
      <c r="AA658" s="103"/>
      <c r="AB658" s="114" t="s">
        <v>7205</v>
      </c>
      <c r="AC658" s="149" t="s">
        <v>7206</v>
      </c>
      <c r="AD658" s="149" t="s">
        <v>7207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03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03"/>
      <c r="AW658" s="103"/>
      <c r="AX658" s="105"/>
      <c r="AY658" s="166"/>
      <c r="AZ658" s="105"/>
      <c r="BA658" s="103"/>
      <c r="BB658" s="136"/>
      <c r="BC658" s="220" t="str">
        <f t="shared" si="72"/>
        <v/>
      </c>
      <c r="BD658" s="103" t="str">
        <f t="shared" si="73"/>
        <v>AA</v>
      </c>
      <c r="BE658" s="103" t="str">
        <f t="shared" si="7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customHeight="1">
      <c r="A659" s="103">
        <v>650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7208</v>
      </c>
      <c r="G659" s="103" t="s">
        <v>4330</v>
      </c>
      <c r="H659" s="103" t="s">
        <v>4331</v>
      </c>
      <c r="I659" s="142" t="s">
        <v>4343</v>
      </c>
      <c r="J659" s="114" t="s">
        <v>7209</v>
      </c>
      <c r="K659" s="149" t="s">
        <v>7210</v>
      </c>
      <c r="L659" s="149" t="s">
        <v>7211</v>
      </c>
      <c r="M659" s="103" t="s">
        <v>4333</v>
      </c>
      <c r="N659" s="103" t="s">
        <v>4345</v>
      </c>
      <c r="O659" s="105">
        <v>46091</v>
      </c>
      <c r="P659" s="108">
        <v>46090</v>
      </c>
      <c r="Q659" s="105" t="s">
        <v>4436</v>
      </c>
      <c r="R659" s="105">
        <v>46090</v>
      </c>
      <c r="S659" s="105">
        <v>46099</v>
      </c>
      <c r="T659" s="105">
        <v>46101</v>
      </c>
      <c r="U659" s="105">
        <v>46118</v>
      </c>
      <c r="V659" s="105" t="s">
        <v>4437</v>
      </c>
      <c r="W659" s="105" t="s">
        <v>4437</v>
      </c>
      <c r="X659" s="105">
        <v>46118</v>
      </c>
      <c r="Y659" s="105">
        <v>46140</v>
      </c>
      <c r="Z659" s="105"/>
      <c r="AA659" s="103"/>
      <c r="AB659" s="114" t="s">
        <v>7209</v>
      </c>
      <c r="AC659" s="149" t="s">
        <v>7210</v>
      </c>
      <c r="AD659" s="149" t="s">
        <v>7211</v>
      </c>
      <c r="AE659" s="165" t="s">
        <v>4343</v>
      </c>
      <c r="AF659" s="165" t="s">
        <v>4333</v>
      </c>
      <c r="AG659" s="194" t="s">
        <v>4356</v>
      </c>
      <c r="AH659" s="194" t="s">
        <v>4356</v>
      </c>
      <c r="AI659" s="103" t="s">
        <v>4355</v>
      </c>
      <c r="AJ659" s="104" t="s">
        <v>4438</v>
      </c>
      <c r="AK659" s="103"/>
      <c r="AL659" s="103"/>
      <c r="AM659" s="103"/>
      <c r="AN659" s="103"/>
      <c r="AO659" s="103"/>
      <c r="AP659" s="171"/>
      <c r="AQ659" s="103"/>
      <c r="AR659" s="103"/>
      <c r="AS659" s="103"/>
      <c r="AT659" s="103"/>
      <c r="AU659" s="105"/>
      <c r="AV659" s="103"/>
      <c r="AW659" s="103"/>
      <c r="AX659" s="105"/>
      <c r="AY659" s="166"/>
      <c r="AZ659" s="105"/>
      <c r="BA659" s="103"/>
      <c r="BB659" s="136"/>
      <c r="BC659" s="220" t="str">
        <f t="shared" si="72"/>
        <v/>
      </c>
      <c r="BD659" s="103" t="str">
        <f t="shared" si="73"/>
        <v>AA</v>
      </c>
      <c r="BE659" s="103" t="str">
        <f t="shared" si="74"/>
        <v>NÃO</v>
      </c>
      <c r="BF659" s="140"/>
      <c r="BG659" s="140"/>
      <c r="BH659" s="140"/>
      <c r="BI659" s="140"/>
      <c r="BJ659" s="140"/>
      <c r="BK659" s="140"/>
      <c r="BL659" s="140"/>
      <c r="BM659" s="238"/>
    </row>
    <row r="660" spans="1:69" ht="30" customHeight="1">
      <c r="A660" s="103">
        <v>651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7212</v>
      </c>
      <c r="G660" s="103" t="s">
        <v>4330</v>
      </c>
      <c r="H660" s="103" t="s">
        <v>4331</v>
      </c>
      <c r="I660" s="142" t="s">
        <v>4343</v>
      </c>
      <c r="J660" s="149" t="s">
        <v>7213</v>
      </c>
      <c r="K660" s="149" t="s">
        <v>4457</v>
      </c>
      <c r="L660" s="149" t="s">
        <v>7214</v>
      </c>
      <c r="M660" s="103" t="s">
        <v>4333</v>
      </c>
      <c r="N660" s="103" t="s">
        <v>4459</v>
      </c>
      <c r="O660" s="105"/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7213</v>
      </c>
      <c r="AC660" s="149" t="s">
        <v>4457</v>
      </c>
      <c r="AD660" s="149" t="s">
        <v>7214</v>
      </c>
      <c r="AE660" s="103" t="s">
        <v>5215</v>
      </c>
      <c r="AF660" s="103" t="s">
        <v>4333</v>
      </c>
      <c r="AG660" s="194">
        <v>25139.25</v>
      </c>
      <c r="AH660" s="194">
        <v>55139.25</v>
      </c>
      <c r="AI660" s="103" t="s">
        <v>4336</v>
      </c>
      <c r="AJ660" s="104" t="s">
        <v>4438</v>
      </c>
      <c r="AK660" s="103">
        <v>158037926</v>
      </c>
      <c r="AL660" s="103"/>
      <c r="AM660" s="103"/>
      <c r="AN660" s="103"/>
      <c r="AO660" s="248"/>
      <c r="AP660" s="171"/>
      <c r="AQ660" s="103"/>
      <c r="AR660" s="103"/>
      <c r="AS660" s="103"/>
      <c r="AT660" s="103"/>
      <c r="AU660" s="105"/>
      <c r="AV660" s="112"/>
      <c r="AW660" s="112"/>
      <c r="AX660" s="111"/>
      <c r="AY660" s="166"/>
      <c r="AZ660" s="157"/>
      <c r="BA660" s="107"/>
      <c r="BB660" s="136"/>
      <c r="BC660" s="220" t="str">
        <f t="shared" si="72"/>
        <v/>
      </c>
      <c r="BD660" s="103" t="str">
        <f t="shared" si="73"/>
        <v>INDENIZAÇÃO</v>
      </c>
      <c r="BE660" s="103" t="str">
        <f t="shared" si="74"/>
        <v>NÃO</v>
      </c>
      <c r="BF660" s="140"/>
      <c r="BG660" s="140"/>
      <c r="BH660" s="140"/>
      <c r="BI660" s="154"/>
      <c r="BJ660" s="154"/>
      <c r="BK660" s="154"/>
      <c r="BL660" s="154"/>
      <c r="BM660" s="237"/>
      <c r="BN660" s="232"/>
      <c r="BO660" s="232"/>
      <c r="BP660" s="232"/>
      <c r="BQ660" s="232"/>
    </row>
    <row r="661" spans="1:69" ht="30" customHeight="1">
      <c r="A661" s="103">
        <v>652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4440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4345</v>
      </c>
      <c r="O661" s="105">
        <v>46093</v>
      </c>
      <c r="P661" s="105">
        <v>46058</v>
      </c>
      <c r="Q661" s="108" t="s">
        <v>4436</v>
      </c>
      <c r="R661" s="105">
        <v>46058</v>
      </c>
      <c r="S661" s="105">
        <v>46058</v>
      </c>
      <c r="T661" s="105">
        <v>46059</v>
      </c>
      <c r="U661" s="105">
        <v>46063</v>
      </c>
      <c r="V661" s="105" t="s">
        <v>4437</v>
      </c>
      <c r="W661" s="105" t="s">
        <v>4437</v>
      </c>
      <c r="X661" s="108">
        <v>46073</v>
      </c>
      <c r="Y661" s="105" t="s">
        <v>4457</v>
      </c>
      <c r="Z661" s="105"/>
      <c r="AA661" s="103" t="s">
        <v>6192</v>
      </c>
      <c r="AB661" s="149" t="s">
        <v>7219</v>
      </c>
      <c r="AC661" s="149" t="s">
        <v>7220</v>
      </c>
      <c r="AD661" s="149" t="s">
        <v>7221</v>
      </c>
      <c r="AE661" s="142" t="s">
        <v>4332</v>
      </c>
      <c r="AF661" s="103" t="s">
        <v>4333</v>
      </c>
      <c r="AG661" s="194">
        <v>12254.75</v>
      </c>
      <c r="AH661" s="194">
        <v>12254.75</v>
      </c>
      <c r="AI661" s="103" t="s">
        <v>4336</v>
      </c>
      <c r="AJ661" s="104" t="s">
        <v>4438</v>
      </c>
      <c r="AK661" s="103">
        <v>154260453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7222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46170</v>
      </c>
      <c r="AV661" s="103" t="s">
        <v>4338</v>
      </c>
      <c r="AW661" s="103" t="s">
        <v>4338</v>
      </c>
      <c r="AX661" s="105">
        <v>46182</v>
      </c>
      <c r="AY661" s="106">
        <v>46182</v>
      </c>
      <c r="AZ661" s="106" t="s">
        <v>4453</v>
      </c>
      <c r="BA661" s="107" t="s">
        <v>4454</v>
      </c>
      <c r="BB661" s="136" t="s">
        <v>4338</v>
      </c>
      <c r="BC661" s="220">
        <f t="shared" si="72"/>
        <v>89</v>
      </c>
      <c r="BD661" s="103" t="str">
        <f t="shared" si="73"/>
        <v>INDENIZAÇÃO</v>
      </c>
      <c r="BE661" s="103" t="str">
        <f t="shared" si="74"/>
        <v>NÃO</v>
      </c>
      <c r="BF661" s="140" t="s">
        <v>4357</v>
      </c>
      <c r="BG661" s="140" t="s">
        <v>4357</v>
      </c>
      <c r="BH661" s="140" t="s">
        <v>4357</v>
      </c>
      <c r="BI661" s="154" t="s">
        <v>5393</v>
      </c>
      <c r="BJ661" s="154"/>
      <c r="BK661" s="154"/>
      <c r="BL661" s="154"/>
      <c r="BM661" s="237"/>
      <c r="BN661" s="232"/>
      <c r="BO661" s="232"/>
      <c r="BP661" s="232"/>
      <c r="BQ661" s="232"/>
    </row>
    <row r="662" spans="1:69" ht="30" customHeight="1">
      <c r="A662" s="165">
        <v>653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7223</v>
      </c>
      <c r="G662" s="103" t="s">
        <v>4330</v>
      </c>
      <c r="H662" s="103" t="s">
        <v>4331</v>
      </c>
      <c r="I662" s="142" t="s">
        <v>4343</v>
      </c>
      <c r="J662" s="149" t="s">
        <v>7224</v>
      </c>
      <c r="K662" s="149" t="s">
        <v>7225</v>
      </c>
      <c r="L662" s="149" t="s">
        <v>7226</v>
      </c>
      <c r="M662" s="103" t="s">
        <v>4333</v>
      </c>
      <c r="N662" s="103" t="s">
        <v>4345</v>
      </c>
      <c r="O662" s="105">
        <v>45980</v>
      </c>
      <c r="P662" s="105">
        <v>45986</v>
      </c>
      <c r="Q662" s="108" t="s">
        <v>4436</v>
      </c>
      <c r="R662" s="108">
        <v>45985</v>
      </c>
      <c r="S662" s="108">
        <v>45986</v>
      </c>
      <c r="T662" s="108">
        <v>45987</v>
      </c>
      <c r="U662" s="108">
        <v>45992</v>
      </c>
      <c r="V662" s="105" t="s">
        <v>4437</v>
      </c>
      <c r="W662" s="105" t="s">
        <v>4437</v>
      </c>
      <c r="X662" s="105">
        <v>45999</v>
      </c>
      <c r="Y662" s="105">
        <v>46000</v>
      </c>
      <c r="Z662" s="105"/>
      <c r="AA662" s="103"/>
      <c r="AB662" s="149" t="s">
        <v>7224</v>
      </c>
      <c r="AC662" s="149" t="s">
        <v>7225</v>
      </c>
      <c r="AD662" s="149" t="s">
        <v>7226</v>
      </c>
      <c r="AE662" s="103" t="s">
        <v>4343</v>
      </c>
      <c r="AF662" s="103" t="s">
        <v>4333</v>
      </c>
      <c r="AG662" s="194" t="s">
        <v>4356</v>
      </c>
      <c r="AH662" s="194" t="s">
        <v>4356</v>
      </c>
      <c r="AI662" s="212" t="s">
        <v>4355</v>
      </c>
      <c r="AJ662" s="104" t="s">
        <v>4438</v>
      </c>
      <c r="AK662" s="103"/>
      <c r="AL662" s="103"/>
      <c r="AM662" s="103"/>
      <c r="AN662" s="103"/>
      <c r="AO662" s="103"/>
      <c r="AP662" s="171"/>
      <c r="AQ662" s="103"/>
      <c r="AR662" s="103"/>
      <c r="AS662" s="103" t="s">
        <v>4356</v>
      </c>
      <c r="AT662" s="103" t="s">
        <v>4356</v>
      </c>
      <c r="AU662" s="103" t="s">
        <v>4356</v>
      </c>
      <c r="AV662" s="103" t="s">
        <v>4356</v>
      </c>
      <c r="AW662" s="103"/>
      <c r="AX662" s="105"/>
      <c r="AY662" s="166"/>
      <c r="AZ662" s="105"/>
      <c r="BA662" s="103"/>
      <c r="BB662" s="136"/>
      <c r="BC662" s="220" t="str">
        <f t="shared" si="72"/>
        <v/>
      </c>
      <c r="BD662" s="103" t="str">
        <f t="shared" si="73"/>
        <v>AA</v>
      </c>
      <c r="BE662" s="103" t="str">
        <f t="shared" si="74"/>
        <v>NÃO</v>
      </c>
      <c r="BF662" s="140"/>
      <c r="BG662" s="140"/>
      <c r="BH662" s="140"/>
      <c r="BI662" s="140"/>
      <c r="BJ662" s="140"/>
      <c r="BK662" s="140"/>
      <c r="BL662" s="140"/>
      <c r="BM662" s="238"/>
    </row>
    <row r="663" spans="1:69" ht="30" customHeight="1">
      <c r="A663" s="165">
        <v>654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7227</v>
      </c>
      <c r="G663" s="103" t="s">
        <v>4330</v>
      </c>
      <c r="H663" s="103" t="s">
        <v>4331</v>
      </c>
      <c r="I663" s="142" t="s">
        <v>4343</v>
      </c>
      <c r="J663" s="149" t="s">
        <v>7228</v>
      </c>
      <c r="K663" s="149" t="s">
        <v>7229</v>
      </c>
      <c r="L663" s="149" t="s">
        <v>7230</v>
      </c>
      <c r="M663" s="103" t="s">
        <v>4333</v>
      </c>
      <c r="N663" s="103" t="s">
        <v>4345</v>
      </c>
      <c r="O663" s="105">
        <v>45988</v>
      </c>
      <c r="P663" s="105">
        <v>46002</v>
      </c>
      <c r="Q663" s="105" t="s">
        <v>4436</v>
      </c>
      <c r="R663" s="105">
        <v>45999</v>
      </c>
      <c r="S663" s="105">
        <v>46006</v>
      </c>
      <c r="T663" s="105">
        <v>46006</v>
      </c>
      <c r="U663" s="105">
        <v>46009</v>
      </c>
      <c r="V663" s="105" t="s">
        <v>4437</v>
      </c>
      <c r="W663" s="105" t="s">
        <v>4437</v>
      </c>
      <c r="X663" s="105">
        <v>46014</v>
      </c>
      <c r="Y663" s="105">
        <v>46020</v>
      </c>
      <c r="Z663" s="105"/>
      <c r="AA663" s="103"/>
      <c r="AB663" s="149" t="s">
        <v>7228</v>
      </c>
      <c r="AC663" s="149" t="s">
        <v>7229</v>
      </c>
      <c r="AD663" s="149" t="s">
        <v>7230</v>
      </c>
      <c r="AE663" s="103" t="s">
        <v>4343</v>
      </c>
      <c r="AF663" s="103" t="s">
        <v>4333</v>
      </c>
      <c r="AG663" s="194" t="s">
        <v>4356</v>
      </c>
      <c r="AH663" s="194" t="s">
        <v>4356</v>
      </c>
      <c r="AI663" s="165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12"/>
      <c r="AW663" s="103"/>
      <c r="AX663" s="105"/>
      <c r="AY663" s="166"/>
      <c r="AZ663" s="105"/>
      <c r="BA663" s="103"/>
      <c r="BB663" s="136"/>
      <c r="BC663" s="220" t="str">
        <f t="shared" si="72"/>
        <v/>
      </c>
      <c r="BD663" s="103" t="str">
        <f t="shared" si="73"/>
        <v>AA</v>
      </c>
      <c r="BE663" s="103" t="str">
        <f t="shared" si="7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customHeight="1">
      <c r="A664" s="165">
        <v>655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7231</v>
      </c>
      <c r="G664" s="103" t="s">
        <v>4330</v>
      </c>
      <c r="H664" s="103" t="s">
        <v>4331</v>
      </c>
      <c r="I664" s="142" t="s">
        <v>4343</v>
      </c>
      <c r="J664" s="149" t="s">
        <v>7232</v>
      </c>
      <c r="K664" s="149" t="s">
        <v>7233</v>
      </c>
      <c r="L664" s="149" t="s">
        <v>7234</v>
      </c>
      <c r="M664" s="103" t="s">
        <v>4333</v>
      </c>
      <c r="N664" s="103" t="s">
        <v>4345</v>
      </c>
      <c r="O664" s="105">
        <v>45996</v>
      </c>
      <c r="P664" s="105">
        <v>46065</v>
      </c>
      <c r="Q664" s="108" t="s">
        <v>4436</v>
      </c>
      <c r="R664" s="105">
        <v>46072</v>
      </c>
      <c r="S664" s="108">
        <v>46072</v>
      </c>
      <c r="T664" s="108">
        <v>46080</v>
      </c>
      <c r="U664" s="105">
        <v>46083</v>
      </c>
      <c r="V664" s="105" t="s">
        <v>4437</v>
      </c>
      <c r="W664" s="105" t="s">
        <v>4437</v>
      </c>
      <c r="X664" s="108">
        <v>46055</v>
      </c>
      <c r="Y664" s="108">
        <v>46156</v>
      </c>
      <c r="Z664" s="105"/>
      <c r="AA664" s="142" t="s">
        <v>7235</v>
      </c>
      <c r="AB664" s="149" t="s">
        <v>7232</v>
      </c>
      <c r="AC664" s="149" t="s">
        <v>7233</v>
      </c>
      <c r="AD664" s="149" t="s">
        <v>7234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12"/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03">
        <v>656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46007</v>
      </c>
      <c r="P665" s="108">
        <v>46031</v>
      </c>
      <c r="Q665" s="105" t="s">
        <v>4436</v>
      </c>
      <c r="R665" s="108">
        <v>46030</v>
      </c>
      <c r="S665" s="108">
        <v>46031</v>
      </c>
      <c r="T665" s="108">
        <v>46036</v>
      </c>
      <c r="U665" s="108">
        <v>46045</v>
      </c>
      <c r="V665" s="108" t="s">
        <v>4437</v>
      </c>
      <c r="W665" s="108" t="s">
        <v>4437</v>
      </c>
      <c r="X665" s="105">
        <v>46055</v>
      </c>
      <c r="Y665" s="105">
        <v>46079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03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03">
        <v>657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4457</v>
      </c>
      <c r="L666" s="149" t="s">
        <v>7242</v>
      </c>
      <c r="M666" s="103" t="s">
        <v>4333</v>
      </c>
      <c r="N666" s="103" t="s">
        <v>4345</v>
      </c>
      <c r="O666" s="105">
        <v>45980</v>
      </c>
      <c r="P666" s="105">
        <v>45986</v>
      </c>
      <c r="Q666" s="108" t="s">
        <v>4436</v>
      </c>
      <c r="R666" s="108">
        <v>45985</v>
      </c>
      <c r="S666" s="108">
        <v>45986</v>
      </c>
      <c r="T666" s="108">
        <v>45987</v>
      </c>
      <c r="U666" s="108">
        <v>45992</v>
      </c>
      <c r="V666" s="105" t="s">
        <v>4437</v>
      </c>
      <c r="W666" s="105" t="s">
        <v>4437</v>
      </c>
      <c r="X666" s="105">
        <v>45999</v>
      </c>
      <c r="Y666" s="105">
        <v>46000</v>
      </c>
      <c r="Z666" s="105"/>
      <c r="AA666" s="103"/>
      <c r="AB666" s="149" t="s">
        <v>7241</v>
      </c>
      <c r="AC666" s="149" t="s">
        <v>4457</v>
      </c>
      <c r="AD666" s="149" t="s">
        <v>7242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212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 t="s">
        <v>4356</v>
      </c>
      <c r="AT666" s="103" t="s">
        <v>4356</v>
      </c>
      <c r="AU666" s="103" t="s">
        <v>4356</v>
      </c>
      <c r="AV666" s="103" t="s">
        <v>4356</v>
      </c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658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7243</v>
      </c>
      <c r="G667" s="103" t="s">
        <v>4330</v>
      </c>
      <c r="H667" s="103" t="s">
        <v>4331</v>
      </c>
      <c r="I667" s="142" t="s">
        <v>4343</v>
      </c>
      <c r="J667" s="149" t="s">
        <v>7244</v>
      </c>
      <c r="K667" s="149" t="s">
        <v>7245</v>
      </c>
      <c r="L667" s="149" t="s">
        <v>7246</v>
      </c>
      <c r="M667" s="103" t="s">
        <v>4333</v>
      </c>
      <c r="N667" s="103" t="s">
        <v>4362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206" t="s">
        <v>4457</v>
      </c>
      <c r="Z667" s="105"/>
      <c r="AA667" s="142" t="s">
        <v>7247</v>
      </c>
      <c r="AB667" s="149" t="s">
        <v>7244</v>
      </c>
      <c r="AC667" s="149" t="s">
        <v>7245</v>
      </c>
      <c r="AD667" s="149" t="s">
        <v>7246</v>
      </c>
      <c r="AE667" s="219" t="s">
        <v>4356</v>
      </c>
      <c r="AF667" s="219" t="s">
        <v>4356</v>
      </c>
      <c r="AG667" s="198" t="s">
        <v>4432</v>
      </c>
      <c r="AH667" s="198" t="s">
        <v>4432</v>
      </c>
      <c r="AI667" s="198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65">
        <v>659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0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65">
        <v>660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03" t="s">
        <v>4343</v>
      </c>
      <c r="J669" s="149" t="s">
        <v>7253</v>
      </c>
      <c r="K669" s="175" t="s">
        <v>6575</v>
      </c>
      <c r="L669" s="149" t="s">
        <v>7254</v>
      </c>
      <c r="M669" s="103" t="s">
        <v>4333</v>
      </c>
      <c r="N669" s="103" t="s">
        <v>4459</v>
      </c>
      <c r="O669" s="105">
        <v>46093</v>
      </c>
      <c r="P669" s="105" t="s">
        <v>4356</v>
      </c>
      <c r="Q669" s="105" t="s">
        <v>4356</v>
      </c>
      <c r="R669" s="105" t="s">
        <v>4356</v>
      </c>
      <c r="S669" s="105" t="s">
        <v>4356</v>
      </c>
      <c r="T669" s="105" t="s">
        <v>4356</v>
      </c>
      <c r="U669" s="105" t="s">
        <v>4356</v>
      </c>
      <c r="V669" s="105" t="s">
        <v>4356</v>
      </c>
      <c r="W669" s="105" t="s">
        <v>4356</v>
      </c>
      <c r="X669" s="105" t="s">
        <v>4356</v>
      </c>
      <c r="Y669" s="105" t="s">
        <v>4356</v>
      </c>
      <c r="Z669" s="105"/>
      <c r="AA669" s="105"/>
      <c r="AB669" s="204" t="s">
        <v>7253</v>
      </c>
      <c r="AC669" s="263" t="s">
        <v>6575</v>
      </c>
      <c r="AD669" s="204" t="s">
        <v>7254</v>
      </c>
      <c r="AE669" s="165" t="s">
        <v>4343</v>
      </c>
      <c r="AF669" s="165" t="s">
        <v>4333</v>
      </c>
      <c r="AG669" s="208">
        <v>9643.0400000000009</v>
      </c>
      <c r="AH669" s="208">
        <v>39643.040000000001</v>
      </c>
      <c r="AI669" s="165" t="s">
        <v>4447</v>
      </c>
      <c r="AJ669" s="104" t="s">
        <v>4438</v>
      </c>
      <c r="AK669" s="103">
        <v>151553826</v>
      </c>
      <c r="AL669" s="142" t="s">
        <v>4338</v>
      </c>
      <c r="AM669" s="103" t="s">
        <v>4338</v>
      </c>
      <c r="AN669" s="103" t="s">
        <v>4339</v>
      </c>
      <c r="AO669" s="112"/>
      <c r="AP669" s="171" t="s">
        <v>7255</v>
      </c>
      <c r="AQ669" s="103" t="s">
        <v>4338</v>
      </c>
      <c r="AR669" s="103" t="s">
        <v>4338</v>
      </c>
      <c r="AS669" s="103" t="s">
        <v>4338</v>
      </c>
      <c r="AT669" s="103" t="s">
        <v>4338</v>
      </c>
      <c r="AU669" s="105">
        <v>46150</v>
      </c>
      <c r="AV669" s="103" t="s">
        <v>4338</v>
      </c>
      <c r="AW669" s="103" t="s">
        <v>4338</v>
      </c>
      <c r="AX669" s="105">
        <v>46157</v>
      </c>
      <c r="AY669" s="106">
        <v>46157</v>
      </c>
      <c r="AZ669" s="106" t="s">
        <v>4453</v>
      </c>
      <c r="BA669" s="107" t="s">
        <v>4454</v>
      </c>
      <c r="BB669" s="136" t="s">
        <v>4338</v>
      </c>
      <c r="BC669" s="220">
        <f t="shared" si="72"/>
        <v>64</v>
      </c>
      <c r="BD669" s="103" t="str">
        <f t="shared" si="73"/>
        <v>INDENIZAÇÃO</v>
      </c>
      <c r="BE669" s="103" t="str">
        <f t="shared" si="74"/>
        <v>NÃO</v>
      </c>
      <c r="BF669" s="140" t="s">
        <v>4357</v>
      </c>
      <c r="BG669" s="140" t="s">
        <v>4357</v>
      </c>
      <c r="BH669" s="140" t="s">
        <v>4357</v>
      </c>
      <c r="BI669" s="154" t="s">
        <v>5393</v>
      </c>
      <c r="BJ669" s="154"/>
      <c r="BK669" s="154"/>
      <c r="BL669" s="154"/>
      <c r="BM669" s="237"/>
    </row>
    <row r="670" spans="1:69" ht="30" customHeight="1">
      <c r="A670" s="165">
        <v>661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7256</v>
      </c>
      <c r="G670" s="103" t="s">
        <v>4330</v>
      </c>
      <c r="H670" s="103" t="s">
        <v>4331</v>
      </c>
      <c r="I670" s="142" t="s">
        <v>4343</v>
      </c>
      <c r="J670" s="149" t="s">
        <v>7257</v>
      </c>
      <c r="K670" s="149" t="s">
        <v>7258</v>
      </c>
      <c r="L670" s="149" t="s">
        <v>7259</v>
      </c>
      <c r="M670" s="103" t="s">
        <v>4333</v>
      </c>
      <c r="N670" s="103" t="s">
        <v>4345</v>
      </c>
      <c r="O670" s="105">
        <v>46041</v>
      </c>
      <c r="P670" s="108">
        <v>46044</v>
      </c>
      <c r="Q670" s="108" t="s">
        <v>4436</v>
      </c>
      <c r="R670" s="108">
        <v>46043</v>
      </c>
      <c r="S670" s="108">
        <v>46044</v>
      </c>
      <c r="T670" s="108">
        <v>46045</v>
      </c>
      <c r="U670" s="108">
        <v>46155</v>
      </c>
      <c r="V670" s="105" t="s">
        <v>4437</v>
      </c>
      <c r="W670" s="105" t="s">
        <v>4437</v>
      </c>
      <c r="X670" s="105">
        <v>46055</v>
      </c>
      <c r="Y670" s="105">
        <v>46056</v>
      </c>
      <c r="Z670" s="105"/>
      <c r="AA670" s="103"/>
      <c r="AB670" s="149" t="s">
        <v>7257</v>
      </c>
      <c r="AC670" s="149" t="s">
        <v>7258</v>
      </c>
      <c r="AD670" s="149" t="s">
        <v>7259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W670" s="103"/>
      <c r="AX670" s="105"/>
      <c r="AY670" s="166"/>
      <c r="AZ670" s="105"/>
      <c r="BA670" s="103"/>
      <c r="BB670" s="136"/>
      <c r="BC670" s="220" t="str">
        <f t="shared" ref="BC670:BC733" si="75">IF(AY670-KD670=0,"",AY670-O670)</f>
        <v/>
      </c>
      <c r="BD670" s="103" t="str">
        <f t="shared" ref="BD670:BD733" si="76">IF(AND(AI670&lt;&gt;"SIM",AI670="UH"),"AA","INDENIZAÇÃO")</f>
        <v>AA</v>
      </c>
      <c r="BE670" s="103" t="str">
        <f t="shared" ref="BE670:BE733" si="77"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03">
        <v>662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7260</v>
      </c>
      <c r="G671" s="103" t="s">
        <v>4330</v>
      </c>
      <c r="H671" s="103" t="s">
        <v>4331</v>
      </c>
      <c r="I671" s="142" t="s">
        <v>4343</v>
      </c>
      <c r="J671" s="149" t="s">
        <v>7261</v>
      </c>
      <c r="K671" s="149" t="s">
        <v>7262</v>
      </c>
      <c r="L671" s="149" t="s">
        <v>7263</v>
      </c>
      <c r="M671" s="103" t="s">
        <v>4333</v>
      </c>
      <c r="N671" s="103" t="s">
        <v>4345</v>
      </c>
      <c r="O671" s="105">
        <v>46041</v>
      </c>
      <c r="P671" s="105">
        <v>46084</v>
      </c>
      <c r="Q671" s="105" t="s">
        <v>4436</v>
      </c>
      <c r="R671" s="105">
        <v>46083</v>
      </c>
      <c r="S671" s="108">
        <v>46084</v>
      </c>
      <c r="T671" s="108">
        <v>46087</v>
      </c>
      <c r="U671" s="108">
        <v>46090</v>
      </c>
      <c r="V671" s="105" t="s">
        <v>4437</v>
      </c>
      <c r="W671" s="105" t="s">
        <v>4437</v>
      </c>
      <c r="X671" s="105">
        <v>46101</v>
      </c>
      <c r="Y671" s="105">
        <v>46101</v>
      </c>
      <c r="Z671" s="105"/>
      <c r="AA671" s="105"/>
      <c r="AB671" s="149" t="s">
        <v>7261</v>
      </c>
      <c r="AC671" s="149" t="s">
        <v>7262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103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/>
      <c r="AT671" s="103"/>
      <c r="AU671" s="105"/>
      <c r="AV671" s="112"/>
      <c r="AW671" s="103"/>
      <c r="AX671" s="105"/>
      <c r="AY671" s="166"/>
      <c r="AZ671" s="105"/>
      <c r="BA671" s="103"/>
      <c r="BB671" s="136"/>
      <c r="BC671" s="220" t="str">
        <f t="shared" si="75"/>
        <v/>
      </c>
      <c r="BD671" s="103" t="str">
        <f t="shared" si="76"/>
        <v>AA</v>
      </c>
      <c r="BE671" s="103" t="str">
        <f t="shared" si="77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customHeight="1">
      <c r="A672" s="103">
        <v>663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50" t="s">
        <v>7265</v>
      </c>
      <c r="K672" s="149" t="s">
        <v>7266</v>
      </c>
      <c r="L672" s="149" t="s">
        <v>7267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50" t="s">
        <v>7265</v>
      </c>
      <c r="AC672" s="149" t="s">
        <v>7266</v>
      </c>
      <c r="AD672" s="149" t="s">
        <v>7267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V672" s="112"/>
      <c r="AW672" s="103"/>
      <c r="AX672" s="105"/>
      <c r="AY672" s="166"/>
      <c r="AZ672" s="105"/>
      <c r="BA672" s="103"/>
      <c r="BB672" s="136"/>
      <c r="BC672" s="220" t="str">
        <f t="shared" si="75"/>
        <v/>
      </c>
      <c r="BD672" s="103" t="str">
        <f t="shared" si="76"/>
        <v>AA</v>
      </c>
      <c r="BE672" s="103" t="str">
        <f t="shared" si="77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664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7268</v>
      </c>
      <c r="G673" s="103" t="s">
        <v>4330</v>
      </c>
      <c r="H673" s="103" t="s">
        <v>4331</v>
      </c>
      <c r="I673" s="142" t="s">
        <v>4343</v>
      </c>
      <c r="J673" s="150" t="s">
        <v>7269</v>
      </c>
      <c r="K673" s="149" t="s">
        <v>7270</v>
      </c>
      <c r="L673" s="149" t="s">
        <v>7271</v>
      </c>
      <c r="M673" s="103" t="s">
        <v>4333</v>
      </c>
      <c r="N673" s="103" t="s">
        <v>4345</v>
      </c>
      <c r="O673" s="105">
        <v>46041</v>
      </c>
      <c r="P673" s="108">
        <v>46044</v>
      </c>
      <c r="Q673" s="108" t="s">
        <v>4436</v>
      </c>
      <c r="R673" s="108">
        <v>46043</v>
      </c>
      <c r="S673" s="108">
        <v>46044</v>
      </c>
      <c r="T673" s="108">
        <v>46045</v>
      </c>
      <c r="U673" s="108">
        <v>46155</v>
      </c>
      <c r="V673" s="105" t="s">
        <v>4437</v>
      </c>
      <c r="W673" s="105" t="s">
        <v>4437</v>
      </c>
      <c r="X673" s="105">
        <v>46055</v>
      </c>
      <c r="Y673" s="105">
        <v>46059</v>
      </c>
      <c r="Z673" s="105"/>
      <c r="AA673" s="103"/>
      <c r="AB673" s="150" t="s">
        <v>7269</v>
      </c>
      <c r="AC673" s="149" t="s">
        <v>7270</v>
      </c>
      <c r="AD673" s="149" t="s">
        <v>7271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65">
        <v>665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7272</v>
      </c>
      <c r="G674" s="103" t="s">
        <v>4330</v>
      </c>
      <c r="H674" s="103" t="s">
        <v>4331</v>
      </c>
      <c r="I674" s="142" t="s">
        <v>4343</v>
      </c>
      <c r="J674" s="150" t="s">
        <v>7273</v>
      </c>
      <c r="K674" s="149" t="s">
        <v>4457</v>
      </c>
      <c r="L674" s="149" t="s">
        <v>7274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7273</v>
      </c>
      <c r="AC674" s="149" t="s">
        <v>4457</v>
      </c>
      <c r="AD674" s="149" t="s">
        <v>7274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65">
        <v>666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7275</v>
      </c>
      <c r="G675" s="103" t="s">
        <v>4330</v>
      </c>
      <c r="H675" s="103" t="s">
        <v>4331</v>
      </c>
      <c r="I675" s="142" t="s">
        <v>4343</v>
      </c>
      <c r="J675" s="150" t="s">
        <v>7276</v>
      </c>
      <c r="K675" s="149" t="s">
        <v>7277</v>
      </c>
      <c r="L675" s="149" t="s">
        <v>7278</v>
      </c>
      <c r="M675" s="103" t="s">
        <v>4333</v>
      </c>
      <c r="N675" s="103" t="s">
        <v>4345</v>
      </c>
      <c r="O675" s="105"/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50" t="s">
        <v>7276</v>
      </c>
      <c r="AC675" s="149" t="s">
        <v>7277</v>
      </c>
      <c r="AD675" s="149" t="s">
        <v>7278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667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7279</v>
      </c>
      <c r="G676" s="103" t="s">
        <v>4330</v>
      </c>
      <c r="H676" s="103" t="s">
        <v>4331</v>
      </c>
      <c r="I676" s="142" t="s">
        <v>4343</v>
      </c>
      <c r="J676" s="150" t="s">
        <v>7280</v>
      </c>
      <c r="K676" s="149" t="s">
        <v>7281</v>
      </c>
      <c r="L676" s="149" t="s">
        <v>7282</v>
      </c>
      <c r="M676" s="103" t="s">
        <v>4333</v>
      </c>
      <c r="N676" s="103" t="s">
        <v>4345</v>
      </c>
      <c r="O676" s="108"/>
      <c r="P676" s="108">
        <v>46031</v>
      </c>
      <c r="Q676" s="105" t="s">
        <v>4436</v>
      </c>
      <c r="R676" s="108">
        <v>46030</v>
      </c>
      <c r="S676" s="108">
        <v>46031</v>
      </c>
      <c r="T676" s="108">
        <v>46036</v>
      </c>
      <c r="U676" s="108">
        <v>46045</v>
      </c>
      <c r="V676" s="108" t="s">
        <v>4437</v>
      </c>
      <c r="W676" s="108" t="s">
        <v>4437</v>
      </c>
      <c r="X676" s="105">
        <v>46055</v>
      </c>
      <c r="Y676" s="105">
        <v>46056</v>
      </c>
      <c r="Z676" s="108"/>
      <c r="AA676" s="112"/>
      <c r="AB676" s="150" t="s">
        <v>7280</v>
      </c>
      <c r="AC676" s="149" t="s">
        <v>7281</v>
      </c>
      <c r="AD676" s="149" t="s">
        <v>7282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12"/>
      <c r="AP676" s="171"/>
      <c r="AQ676" s="112"/>
      <c r="AR676" s="112"/>
      <c r="AS676" s="112"/>
      <c r="AT676" s="112"/>
      <c r="AU676" s="112"/>
      <c r="AV676" s="112"/>
      <c r="AW676" s="112"/>
      <c r="AX676" s="112"/>
      <c r="AY676" s="166"/>
      <c r="AZ676" s="108"/>
      <c r="BA676" s="112"/>
      <c r="BB676" s="112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12"/>
      <c r="BG676" s="147"/>
      <c r="BH676" s="147"/>
      <c r="BI676" s="112"/>
      <c r="BJ676" s="112"/>
      <c r="BK676" s="112"/>
      <c r="BL676" s="112"/>
      <c r="BM676" s="236"/>
    </row>
    <row r="677" spans="1:66" ht="30" customHeight="1">
      <c r="A677" s="103">
        <v>668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7283</v>
      </c>
      <c r="G677" s="103" t="s">
        <v>4330</v>
      </c>
      <c r="H677" s="103" t="s">
        <v>4352</v>
      </c>
      <c r="I677" s="142" t="s">
        <v>4343</v>
      </c>
      <c r="J677" s="149" t="s">
        <v>7284</v>
      </c>
      <c r="K677" s="149" t="s">
        <v>7285</v>
      </c>
      <c r="L677" s="149" t="s">
        <v>7286</v>
      </c>
      <c r="M677" s="103" t="s">
        <v>4333</v>
      </c>
      <c r="N677" s="103" t="s">
        <v>4459</v>
      </c>
      <c r="O677" s="105">
        <v>45980</v>
      </c>
      <c r="P677" s="105" t="s">
        <v>4356</v>
      </c>
      <c r="Q677" s="105" t="s">
        <v>4356</v>
      </c>
      <c r="R677" s="105" t="s">
        <v>4356</v>
      </c>
      <c r="S677" s="105" t="s">
        <v>4356</v>
      </c>
      <c r="T677" s="105" t="s">
        <v>4356</v>
      </c>
      <c r="U677" s="105" t="s">
        <v>4356</v>
      </c>
      <c r="V677" s="105" t="s">
        <v>4356</v>
      </c>
      <c r="W677" s="105" t="s">
        <v>4356</v>
      </c>
      <c r="X677" s="105" t="s">
        <v>4356</v>
      </c>
      <c r="Y677" s="105" t="s">
        <v>4356</v>
      </c>
      <c r="Z677" s="105"/>
      <c r="AA677" s="105"/>
      <c r="AB677" s="149" t="s">
        <v>7284</v>
      </c>
      <c r="AC677" s="149" t="s">
        <v>7285</v>
      </c>
      <c r="AD677" s="149" t="s">
        <v>7286</v>
      </c>
      <c r="AE677" s="103" t="s">
        <v>4343</v>
      </c>
      <c r="AF677" s="103" t="s">
        <v>4333</v>
      </c>
      <c r="AG677" s="194">
        <v>46615.76</v>
      </c>
      <c r="AH677" s="194">
        <v>60000</v>
      </c>
      <c r="AI677" s="103" t="s">
        <v>4336</v>
      </c>
      <c r="AJ677" s="104" t="s">
        <v>4438</v>
      </c>
      <c r="AK677" s="103">
        <v>146672713</v>
      </c>
      <c r="AL677" s="103" t="s">
        <v>4338</v>
      </c>
      <c r="AM677" s="103" t="s">
        <v>4338</v>
      </c>
      <c r="AN677" s="103" t="s">
        <v>4339</v>
      </c>
      <c r="AO677" s="112"/>
      <c r="AP677" s="171" t="s">
        <v>7287</v>
      </c>
      <c r="AQ677" s="103" t="s">
        <v>4338</v>
      </c>
      <c r="AR677" s="103" t="s">
        <v>4338</v>
      </c>
      <c r="AS677" s="103" t="s">
        <v>4338</v>
      </c>
      <c r="AT677" s="103" t="s">
        <v>4338</v>
      </c>
      <c r="AU677" s="105">
        <v>46021</v>
      </c>
      <c r="AV677" s="112" t="s">
        <v>4338</v>
      </c>
      <c r="AW677" s="103" t="s">
        <v>4338</v>
      </c>
      <c r="AX677" s="111">
        <v>46041</v>
      </c>
      <c r="AY677" s="157">
        <v>46041</v>
      </c>
      <c r="AZ677" s="157" t="s">
        <v>4453</v>
      </c>
      <c r="BA677" s="174" t="s">
        <v>4454</v>
      </c>
      <c r="BB677" s="136" t="s">
        <v>4338</v>
      </c>
      <c r="BC677" s="220">
        <f t="shared" si="75"/>
        <v>61</v>
      </c>
      <c r="BD677" s="103" t="str">
        <f t="shared" si="76"/>
        <v>INDENIZAÇÃO</v>
      </c>
      <c r="BE677" s="103" t="str">
        <f t="shared" si="77"/>
        <v>NÃO</v>
      </c>
      <c r="BF677" s="140" t="s">
        <v>4357</v>
      </c>
      <c r="BG677" s="140" t="s">
        <v>4357</v>
      </c>
      <c r="BH677" s="140" t="s">
        <v>4357</v>
      </c>
      <c r="BI677" s="154" t="s">
        <v>5393</v>
      </c>
      <c r="BJ677" s="154"/>
      <c r="BK677" s="154"/>
      <c r="BL677" s="154"/>
      <c r="BM677" s="237"/>
      <c r="BN677" s="231"/>
    </row>
    <row r="678" spans="1:66" ht="30" customHeight="1">
      <c r="A678" s="103">
        <v>669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49" t="s">
        <v>7289</v>
      </c>
      <c r="K678" s="149" t="s">
        <v>7290</v>
      </c>
      <c r="L678" s="149" t="s">
        <v>7291</v>
      </c>
      <c r="M678" s="103" t="s">
        <v>4333</v>
      </c>
      <c r="N678" s="103" t="s">
        <v>4459</v>
      </c>
      <c r="O678" s="105">
        <v>46001</v>
      </c>
      <c r="P678" s="105" t="s">
        <v>4356</v>
      </c>
      <c r="Q678" s="105" t="s">
        <v>4356</v>
      </c>
      <c r="R678" s="105" t="s">
        <v>4356</v>
      </c>
      <c r="S678" s="105" t="s">
        <v>4356</v>
      </c>
      <c r="T678" s="105" t="s">
        <v>4356</v>
      </c>
      <c r="U678" s="105" t="s">
        <v>4356</v>
      </c>
      <c r="V678" s="105" t="s">
        <v>4356</v>
      </c>
      <c r="W678" s="105" t="s">
        <v>4356</v>
      </c>
      <c r="X678" s="105" t="s">
        <v>4356</v>
      </c>
      <c r="Y678" s="105" t="s">
        <v>4356</v>
      </c>
      <c r="Z678" s="105"/>
      <c r="AA678" s="105"/>
      <c r="AB678" s="149" t="s">
        <v>7292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>
        <v>31783.47</v>
      </c>
      <c r="AH678" s="194">
        <v>60000</v>
      </c>
      <c r="AI678" s="103" t="s">
        <v>4336</v>
      </c>
      <c r="AJ678" s="104" t="s">
        <v>4438</v>
      </c>
      <c r="AK678" s="103">
        <v>146672782</v>
      </c>
      <c r="AL678" s="103" t="s">
        <v>4338</v>
      </c>
      <c r="AM678" s="103" t="s">
        <v>4338</v>
      </c>
      <c r="AN678" s="103" t="s">
        <v>4339</v>
      </c>
      <c r="AO678" s="112"/>
      <c r="AP678" s="171" t="s">
        <v>7293</v>
      </c>
      <c r="AQ678" s="103" t="s">
        <v>4338</v>
      </c>
      <c r="AR678" s="103" t="s">
        <v>4338</v>
      </c>
      <c r="AS678" s="103" t="s">
        <v>4338</v>
      </c>
      <c r="AT678" s="103" t="s">
        <v>4338</v>
      </c>
      <c r="AU678" s="108">
        <v>46024</v>
      </c>
      <c r="AV678" s="112" t="s">
        <v>4338</v>
      </c>
      <c r="AW678" s="103" t="s">
        <v>4338</v>
      </c>
      <c r="AX678" s="166">
        <v>46038</v>
      </c>
      <c r="AY678" s="157">
        <v>46038</v>
      </c>
      <c r="AZ678" s="157" t="s">
        <v>4453</v>
      </c>
      <c r="BA678" s="107" t="s">
        <v>4454</v>
      </c>
      <c r="BB678" s="136" t="s">
        <v>4338</v>
      </c>
      <c r="BC678" s="220">
        <f t="shared" si="75"/>
        <v>37</v>
      </c>
      <c r="BD678" s="103" t="str">
        <f t="shared" si="76"/>
        <v>INDENIZAÇÃO</v>
      </c>
      <c r="BE678" s="103" t="str">
        <f t="shared" si="77"/>
        <v>NÃO</v>
      </c>
      <c r="BF678" s="140" t="s">
        <v>4357</v>
      </c>
      <c r="BG678" s="140" t="s">
        <v>4357</v>
      </c>
      <c r="BH678" s="140" t="s">
        <v>4357</v>
      </c>
      <c r="BI678" s="154" t="s">
        <v>5393</v>
      </c>
      <c r="BJ678" s="154"/>
      <c r="BK678" s="154"/>
      <c r="BL678" s="154"/>
      <c r="BM678" s="237"/>
      <c r="BN678" s="231"/>
    </row>
    <row r="679" spans="1:66" ht="30" customHeight="1">
      <c r="A679" s="103">
        <v>670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7294</v>
      </c>
      <c r="G679" s="103" t="s">
        <v>4330</v>
      </c>
      <c r="H679" s="103" t="s">
        <v>4331</v>
      </c>
      <c r="I679" s="142" t="s">
        <v>4343</v>
      </c>
      <c r="J679" s="149" t="s">
        <v>7295</v>
      </c>
      <c r="K679" s="149" t="s">
        <v>7296</v>
      </c>
      <c r="L679" s="149" t="s">
        <v>7297</v>
      </c>
      <c r="M679" s="103" t="s">
        <v>4333</v>
      </c>
      <c r="N679" s="103" t="s">
        <v>4345</v>
      </c>
      <c r="O679" s="105">
        <v>45980</v>
      </c>
      <c r="P679" s="105">
        <v>45986</v>
      </c>
      <c r="Q679" s="108" t="s">
        <v>4436</v>
      </c>
      <c r="R679" s="108">
        <v>45985</v>
      </c>
      <c r="S679" s="108">
        <v>45986</v>
      </c>
      <c r="T679" s="108">
        <v>45987</v>
      </c>
      <c r="U679" s="108">
        <v>45992</v>
      </c>
      <c r="V679" s="105" t="s">
        <v>4437</v>
      </c>
      <c r="W679" s="105" t="s">
        <v>4437</v>
      </c>
      <c r="X679" s="105">
        <v>45999</v>
      </c>
      <c r="Y679" s="105">
        <v>46002</v>
      </c>
      <c r="Z679" s="105"/>
      <c r="AA679" s="103"/>
      <c r="AB679" s="149" t="s">
        <v>7295</v>
      </c>
      <c r="AC679" s="149" t="s">
        <v>7296</v>
      </c>
      <c r="AD679" s="149" t="s">
        <v>7297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212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 t="s">
        <v>4356</v>
      </c>
      <c r="AT679" s="103" t="s">
        <v>4356</v>
      </c>
      <c r="AU679" s="103" t="s">
        <v>4356</v>
      </c>
      <c r="AV679" s="103" t="s">
        <v>4356</v>
      </c>
      <c r="AW679" s="103"/>
      <c r="AX679" s="105"/>
      <c r="AY679" s="166"/>
      <c r="AZ679" s="105"/>
      <c r="BA679" s="103"/>
      <c r="BB679" s="136"/>
      <c r="BC679" s="220" t="str">
        <f t="shared" si="75"/>
        <v/>
      </c>
      <c r="BD679" s="103" t="str">
        <f t="shared" si="76"/>
        <v>AA</v>
      </c>
      <c r="BE679" s="103" t="str">
        <f t="shared" si="77"/>
        <v>NÃO</v>
      </c>
      <c r="BF679" s="140"/>
      <c r="BG679" s="140"/>
      <c r="BH679" s="140"/>
      <c r="BI679" s="140"/>
      <c r="BJ679" s="140"/>
      <c r="BK679" s="140"/>
      <c r="BL679" s="140"/>
      <c r="BM679" s="238"/>
      <c r="BN679" s="232"/>
    </row>
    <row r="680" spans="1:66" ht="30" customHeight="1">
      <c r="A680" s="165">
        <v>671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7298</v>
      </c>
      <c r="G680" s="103" t="s">
        <v>4330</v>
      </c>
      <c r="H680" s="103" t="s">
        <v>4331</v>
      </c>
      <c r="I680" s="142" t="s">
        <v>4343</v>
      </c>
      <c r="J680" s="149" t="s">
        <v>7292</v>
      </c>
      <c r="K680" s="149" t="s">
        <v>7299</v>
      </c>
      <c r="L680" s="149" t="s">
        <v>7300</v>
      </c>
      <c r="M680" s="103" t="s">
        <v>4333</v>
      </c>
      <c r="N680" s="103" t="s">
        <v>4345</v>
      </c>
      <c r="O680" s="105">
        <v>45980</v>
      </c>
      <c r="P680" s="105">
        <v>46002</v>
      </c>
      <c r="Q680" s="105" t="s">
        <v>4436</v>
      </c>
      <c r="R680" s="105">
        <v>45999</v>
      </c>
      <c r="S680" s="105">
        <v>46006</v>
      </c>
      <c r="T680" s="105">
        <v>46006</v>
      </c>
      <c r="U680" s="105">
        <v>46009</v>
      </c>
      <c r="V680" s="105" t="s">
        <v>4437</v>
      </c>
      <c r="W680" s="105" t="s">
        <v>4437</v>
      </c>
      <c r="X680" s="105">
        <v>46014</v>
      </c>
      <c r="Y680" s="105">
        <v>46029</v>
      </c>
      <c r="Z680" s="105"/>
      <c r="AA680" s="103"/>
      <c r="AB680" s="149" t="s">
        <v>7292</v>
      </c>
      <c r="AC680" s="149" t="s">
        <v>7299</v>
      </c>
      <c r="AD680" s="149" t="s">
        <v>7300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65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5"/>
        <v/>
      </c>
      <c r="BD680" s="103" t="str">
        <f t="shared" si="76"/>
        <v>AA</v>
      </c>
      <c r="BE680" s="103" t="str">
        <f t="shared" si="7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customHeight="1">
      <c r="A681" s="165">
        <v>672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7301</v>
      </c>
      <c r="G681" s="103" t="s">
        <v>4330</v>
      </c>
      <c r="H681" s="103" t="s">
        <v>4331</v>
      </c>
      <c r="I681" s="142" t="s">
        <v>4343</v>
      </c>
      <c r="J681" s="149" t="s">
        <v>7302</v>
      </c>
      <c r="K681" s="149" t="s">
        <v>7303</v>
      </c>
      <c r="L681" s="149" t="s">
        <v>7304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46001</v>
      </c>
      <c r="Z681" s="105"/>
      <c r="AA681" s="103"/>
      <c r="AB681" s="149" t="s">
        <v>7302</v>
      </c>
      <c r="AC681" s="149" t="s">
        <v>7303</v>
      </c>
      <c r="AD681" s="149" t="s">
        <v>7304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</row>
    <row r="682" spans="1:66" ht="30" customHeight="1">
      <c r="A682" s="165">
        <v>673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7305</v>
      </c>
      <c r="G682" s="103" t="s">
        <v>4330</v>
      </c>
      <c r="H682" s="103" t="s">
        <v>4331</v>
      </c>
      <c r="I682" s="142" t="s">
        <v>6993</v>
      </c>
      <c r="J682" s="149" t="s">
        <v>7306</v>
      </c>
      <c r="K682" s="149" t="s">
        <v>7307</v>
      </c>
      <c r="L682" s="149" t="s">
        <v>7308</v>
      </c>
      <c r="M682" s="103" t="s">
        <v>4333</v>
      </c>
      <c r="N682" s="103" t="s">
        <v>4345</v>
      </c>
      <c r="O682" s="105">
        <v>45980</v>
      </c>
      <c r="P682" s="105">
        <v>45986</v>
      </c>
      <c r="Q682" s="108" t="s">
        <v>4436</v>
      </c>
      <c r="R682" s="108">
        <v>45985</v>
      </c>
      <c r="S682" s="108">
        <v>45986</v>
      </c>
      <c r="T682" s="108">
        <v>45987</v>
      </c>
      <c r="U682" s="108">
        <v>45992</v>
      </c>
      <c r="V682" s="105" t="s">
        <v>4437</v>
      </c>
      <c r="W682" s="105" t="s">
        <v>4437</v>
      </c>
      <c r="X682" s="105">
        <v>45999</v>
      </c>
      <c r="Y682" s="105">
        <v>46001</v>
      </c>
      <c r="Z682" s="105"/>
      <c r="AA682" s="103"/>
      <c r="AB682" s="149" t="s">
        <v>7306</v>
      </c>
      <c r="AC682" s="149" t="s">
        <v>7307</v>
      </c>
      <c r="AD682" s="149" t="s">
        <v>7308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210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 t="s">
        <v>4356</v>
      </c>
      <c r="AT682" s="103" t="s">
        <v>4356</v>
      </c>
      <c r="AU682" s="103" t="s">
        <v>4356</v>
      </c>
      <c r="AV682" s="103" t="s">
        <v>4356</v>
      </c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03">
        <v>674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8" t="s">
        <v>4437</v>
      </c>
      <c r="W683" s="108" t="s">
        <v>4437</v>
      </c>
      <c r="X683" s="105">
        <v>45999</v>
      </c>
      <c r="Y683" s="105">
        <v>46001</v>
      </c>
      <c r="Z683" s="105"/>
      <c r="AA683" s="103"/>
      <c r="AB683" s="149" t="s">
        <v>7310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0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03">
        <v>675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7313</v>
      </c>
      <c r="G684" s="103" t="s">
        <v>4330</v>
      </c>
      <c r="H684" s="103" t="s">
        <v>4331</v>
      </c>
      <c r="I684" s="142" t="s">
        <v>4343</v>
      </c>
      <c r="J684" s="149" t="s">
        <v>7314</v>
      </c>
      <c r="K684" s="149" t="s">
        <v>7315</v>
      </c>
      <c r="L684" s="149" t="s">
        <v>7316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46009</v>
      </c>
      <c r="Z684" s="108"/>
      <c r="AA684" s="112"/>
      <c r="AB684" s="149" t="s">
        <v>7314</v>
      </c>
      <c r="AC684" s="149" t="s">
        <v>7315</v>
      </c>
      <c r="AD684" s="149" t="s">
        <v>7316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12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12"/>
      <c r="AX684" s="112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676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7317</v>
      </c>
      <c r="G685" s="103" t="s">
        <v>4330</v>
      </c>
      <c r="H685" s="103" t="s">
        <v>4331</v>
      </c>
      <c r="I685" s="142" t="s">
        <v>4343</v>
      </c>
      <c r="J685" s="149" t="s">
        <v>7318</v>
      </c>
      <c r="K685" s="149" t="s">
        <v>7319</v>
      </c>
      <c r="L685" s="149" t="s">
        <v>7320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5" t="s">
        <v>4437</v>
      </c>
      <c r="W685" s="105" t="s">
        <v>4437</v>
      </c>
      <c r="X685" s="105">
        <v>45999</v>
      </c>
      <c r="Y685" s="105">
        <v>46001</v>
      </c>
      <c r="Z685" s="105"/>
      <c r="AA685" s="103"/>
      <c r="AB685" s="149" t="s">
        <v>7318</v>
      </c>
      <c r="AC685" s="149" t="s">
        <v>7319</v>
      </c>
      <c r="AD685" s="149" t="s">
        <v>7320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65">
        <v>677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7321</v>
      </c>
      <c r="G686" s="103" t="s">
        <v>4330</v>
      </c>
      <c r="H686" s="103" t="s">
        <v>4331</v>
      </c>
      <c r="I686" s="142" t="s">
        <v>4343</v>
      </c>
      <c r="J686" s="149" t="s">
        <v>7322</v>
      </c>
      <c r="K686" s="149" t="s">
        <v>7323</v>
      </c>
      <c r="L686" s="149" t="s">
        <v>7324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46000</v>
      </c>
      <c r="Z686" s="105"/>
      <c r="AA686" s="103"/>
      <c r="AB686" s="149" t="s">
        <v>7322</v>
      </c>
      <c r="AC686" s="149" t="s">
        <v>7323</v>
      </c>
      <c r="AD686" s="149" t="s">
        <v>7324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65">
        <v>678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7325</v>
      </c>
      <c r="G687" s="103" t="s">
        <v>4330</v>
      </c>
      <c r="H687" s="103" t="s">
        <v>4331</v>
      </c>
      <c r="I687" s="142" t="s">
        <v>4343</v>
      </c>
      <c r="J687" s="114" t="s">
        <v>7326</v>
      </c>
      <c r="K687" s="149" t="s">
        <v>7327</v>
      </c>
      <c r="L687" s="149" t="s">
        <v>7328</v>
      </c>
      <c r="M687" s="103" t="s">
        <v>4333</v>
      </c>
      <c r="N687" s="103" t="s">
        <v>4345</v>
      </c>
      <c r="O687" s="105">
        <v>45996</v>
      </c>
      <c r="P687" s="105">
        <v>46002</v>
      </c>
      <c r="Q687" s="105" t="s">
        <v>4436</v>
      </c>
      <c r="R687" s="105">
        <v>45999</v>
      </c>
      <c r="S687" s="105">
        <v>46006</v>
      </c>
      <c r="T687" s="105">
        <v>46006</v>
      </c>
      <c r="U687" s="105">
        <v>46009</v>
      </c>
      <c r="V687" s="105" t="s">
        <v>4437</v>
      </c>
      <c r="W687" s="105" t="s">
        <v>4437</v>
      </c>
      <c r="X687" s="105">
        <v>46014</v>
      </c>
      <c r="Y687" s="105">
        <v>46020</v>
      </c>
      <c r="Z687" s="105"/>
      <c r="AA687" s="103"/>
      <c r="AB687" s="114" t="s">
        <v>7326</v>
      </c>
      <c r="AC687" s="149" t="s">
        <v>7327</v>
      </c>
      <c r="AD687" s="149" t="s">
        <v>7328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165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/>
      <c r="AT687" s="103"/>
      <c r="AU687" s="105"/>
      <c r="AV687" s="112"/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679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7329</v>
      </c>
      <c r="G688" s="103" t="s">
        <v>4330</v>
      </c>
      <c r="H688" s="103" t="s">
        <v>4331</v>
      </c>
      <c r="I688" s="142" t="s">
        <v>4343</v>
      </c>
      <c r="J688" s="114" t="s">
        <v>7330</v>
      </c>
      <c r="K688" s="149" t="s">
        <v>7331</v>
      </c>
      <c r="L688" s="149" t="s">
        <v>7332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46002</v>
      </c>
      <c r="Z688" s="105"/>
      <c r="AA688" s="103"/>
      <c r="AB688" s="114" t="s">
        <v>7330</v>
      </c>
      <c r="AC688" s="149" t="s">
        <v>7331</v>
      </c>
      <c r="AD688" s="149" t="s">
        <v>7332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2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03">
        <v>680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7333</v>
      </c>
      <c r="G689" s="103" t="s">
        <v>4330</v>
      </c>
      <c r="H689" s="103" t="s">
        <v>4331</v>
      </c>
      <c r="I689" s="142" t="s">
        <v>4343</v>
      </c>
      <c r="J689" s="149" t="s">
        <v>7334</v>
      </c>
      <c r="K689" s="149" t="s">
        <v>7335</v>
      </c>
      <c r="L689" s="149" t="s">
        <v>7336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8" t="s">
        <v>4437</v>
      </c>
      <c r="W689" s="108" t="s">
        <v>4437</v>
      </c>
      <c r="X689" s="105">
        <v>45999</v>
      </c>
      <c r="Y689" s="105">
        <v>46000</v>
      </c>
      <c r="Z689" s="108"/>
      <c r="AA689" s="112"/>
      <c r="AB689" s="149" t="s">
        <v>7334</v>
      </c>
      <c r="AC689" s="149" t="s">
        <v>7335</v>
      </c>
      <c r="AD689" s="149" t="s">
        <v>7336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03">
        <v>681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7337</v>
      </c>
      <c r="G690" s="103" t="s">
        <v>4330</v>
      </c>
      <c r="H690" s="103" t="s">
        <v>4331</v>
      </c>
      <c r="I690" s="142" t="s">
        <v>4343</v>
      </c>
      <c r="J690" s="149" t="s">
        <v>7338</v>
      </c>
      <c r="K690" s="149" t="s">
        <v>7339</v>
      </c>
      <c r="L690" s="149" t="s">
        <v>7340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8">
        <v>46034</v>
      </c>
      <c r="Z690" s="108"/>
      <c r="AA690" s="112"/>
      <c r="AB690" s="149" t="s">
        <v>7338</v>
      </c>
      <c r="AC690" s="149" t="s">
        <v>7339</v>
      </c>
      <c r="AD690" s="149" t="s">
        <v>7340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12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12"/>
      <c r="AX690" s="112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682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7341</v>
      </c>
      <c r="G691" s="103" t="s">
        <v>4330</v>
      </c>
      <c r="H691" s="103" t="s">
        <v>4331</v>
      </c>
      <c r="I691" s="142" t="s">
        <v>4343</v>
      </c>
      <c r="J691" s="149" t="s">
        <v>7342</v>
      </c>
      <c r="K691" s="149" t="s">
        <v>7343</v>
      </c>
      <c r="L691" s="149" t="s">
        <v>7344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46001</v>
      </c>
      <c r="Z691" s="108"/>
      <c r="AA691" s="112"/>
      <c r="AB691" s="149" t="s">
        <v>7342</v>
      </c>
      <c r="AC691" s="149" t="s">
        <v>7343</v>
      </c>
      <c r="AD691" s="149" t="s">
        <v>7344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65">
        <v>683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7345</v>
      </c>
      <c r="G692" s="103" t="s">
        <v>4330</v>
      </c>
      <c r="H692" s="103" t="s">
        <v>4331</v>
      </c>
      <c r="I692" s="142" t="s">
        <v>4343</v>
      </c>
      <c r="J692" s="149" t="s">
        <v>7346</v>
      </c>
      <c r="K692" s="149" t="s">
        <v>7347</v>
      </c>
      <c r="L692" s="149" t="s">
        <v>7348</v>
      </c>
      <c r="M692" s="103" t="s">
        <v>4333</v>
      </c>
      <c r="N692" s="103" t="s">
        <v>4345</v>
      </c>
      <c r="O692" s="105">
        <v>46041</v>
      </c>
      <c r="P692" s="108">
        <v>46044</v>
      </c>
      <c r="Q692" s="108" t="s">
        <v>4436</v>
      </c>
      <c r="R692" s="108">
        <v>46043</v>
      </c>
      <c r="S692" s="108">
        <v>46044</v>
      </c>
      <c r="T692" s="108">
        <v>46045</v>
      </c>
      <c r="U692" s="108">
        <v>46155</v>
      </c>
      <c r="V692" s="105" t="s">
        <v>4437</v>
      </c>
      <c r="W692" s="105" t="s">
        <v>4437</v>
      </c>
      <c r="X692" s="105">
        <v>46055</v>
      </c>
      <c r="Y692" s="105">
        <v>46056</v>
      </c>
      <c r="Z692" s="108"/>
      <c r="AA692" s="112"/>
      <c r="AB692" s="149" t="s">
        <v>7346</v>
      </c>
      <c r="AC692" s="149" t="s">
        <v>7347</v>
      </c>
      <c r="AD692" s="149" t="s">
        <v>7348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12"/>
      <c r="AR692" s="112"/>
      <c r="AS692" s="112"/>
      <c r="AT692" s="112"/>
      <c r="AU692" s="112"/>
      <c r="AV692" s="112"/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65">
        <v>684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7349</v>
      </c>
      <c r="G693" s="103" t="s">
        <v>4330</v>
      </c>
      <c r="H693" s="103" t="s">
        <v>4331</v>
      </c>
      <c r="I693" s="142" t="s">
        <v>4343</v>
      </c>
      <c r="J693" s="149" t="s">
        <v>7350</v>
      </c>
      <c r="K693" s="149" t="s">
        <v>4457</v>
      </c>
      <c r="L693" s="149" t="s">
        <v>7351</v>
      </c>
      <c r="M693" s="103" t="s">
        <v>4333</v>
      </c>
      <c r="N693" s="103" t="s">
        <v>4345</v>
      </c>
      <c r="O693" s="105"/>
      <c r="P693" s="105">
        <v>46065</v>
      </c>
      <c r="Q693" s="108" t="s">
        <v>4436</v>
      </c>
      <c r="R693" s="105">
        <v>46072</v>
      </c>
      <c r="S693" s="108">
        <v>46072</v>
      </c>
      <c r="T693" s="108">
        <v>46080</v>
      </c>
      <c r="U693" s="105">
        <v>46083</v>
      </c>
      <c r="V693" s="105" t="s">
        <v>4437</v>
      </c>
      <c r="W693" s="105" t="s">
        <v>4437</v>
      </c>
      <c r="X693" s="108">
        <v>46055</v>
      </c>
      <c r="Y693" s="108">
        <v>46091</v>
      </c>
      <c r="Z693" s="108"/>
      <c r="AA693" s="112"/>
      <c r="AB693" s="149" t="s">
        <v>7350</v>
      </c>
      <c r="AC693" s="149" t="s">
        <v>4457</v>
      </c>
      <c r="AD693" s="149" t="s">
        <v>7351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103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12"/>
      <c r="AR693" s="112"/>
      <c r="AS693" s="112"/>
      <c r="AT693" s="112"/>
      <c r="AU693" s="112"/>
      <c r="AV693" s="112"/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685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7352</v>
      </c>
      <c r="G694" s="103" t="s">
        <v>4330</v>
      </c>
      <c r="H694" s="103" t="s">
        <v>4331</v>
      </c>
      <c r="I694" s="142" t="s">
        <v>4343</v>
      </c>
      <c r="J694" s="149" t="s">
        <v>7353</v>
      </c>
      <c r="K694" s="149" t="s">
        <v>7354</v>
      </c>
      <c r="L694" s="149" t="s">
        <v>7355</v>
      </c>
      <c r="M694" s="103" t="s">
        <v>4333</v>
      </c>
      <c r="N694" s="103" t="s">
        <v>4459</v>
      </c>
      <c r="O694" s="105">
        <v>46077</v>
      </c>
      <c r="P694" s="105" t="s">
        <v>4356</v>
      </c>
      <c r="Q694" s="105" t="s">
        <v>4356</v>
      </c>
      <c r="R694" s="105" t="s">
        <v>4356</v>
      </c>
      <c r="S694" s="105" t="s">
        <v>4356</v>
      </c>
      <c r="T694" s="105" t="s">
        <v>4356</v>
      </c>
      <c r="U694" s="105" t="s">
        <v>4356</v>
      </c>
      <c r="V694" s="105" t="s">
        <v>4356</v>
      </c>
      <c r="W694" s="105" t="s">
        <v>4356</v>
      </c>
      <c r="X694" s="105" t="s">
        <v>4356</v>
      </c>
      <c r="Y694" s="105" t="s">
        <v>4356</v>
      </c>
      <c r="Z694" s="105"/>
      <c r="AA694" s="105"/>
      <c r="AB694" s="149" t="s">
        <v>7356</v>
      </c>
      <c r="AC694" s="149" t="s">
        <v>7354</v>
      </c>
      <c r="AD694" s="149" t="s">
        <v>7355</v>
      </c>
      <c r="AE694" s="103" t="s">
        <v>4343</v>
      </c>
      <c r="AF694" s="103" t="s">
        <v>4333</v>
      </c>
      <c r="AG694" s="194">
        <v>2812.4</v>
      </c>
      <c r="AH694" s="194">
        <f>AG694+30000</f>
        <v>32812.400000000001</v>
      </c>
      <c r="AI694" s="103" t="s">
        <v>4336</v>
      </c>
      <c r="AJ694" s="104" t="s">
        <v>4438</v>
      </c>
      <c r="AK694" s="103">
        <v>150959865</v>
      </c>
      <c r="AL694" s="103" t="s">
        <v>4338</v>
      </c>
      <c r="AM694" s="103" t="s">
        <v>4338</v>
      </c>
      <c r="AN694" s="103" t="s">
        <v>4339</v>
      </c>
      <c r="AO694" s="112"/>
      <c r="AP694" s="171" t="s">
        <v>7357</v>
      </c>
      <c r="AQ694" s="103" t="s">
        <v>4338</v>
      </c>
      <c r="AR694" s="103" t="s">
        <v>4338</v>
      </c>
      <c r="AS694" s="103" t="s">
        <v>4338</v>
      </c>
      <c r="AT694" s="103" t="s">
        <v>4338</v>
      </c>
      <c r="AU694" s="105">
        <v>46127</v>
      </c>
      <c r="AV694" s="103" t="s">
        <v>4338</v>
      </c>
      <c r="AW694" s="103" t="s">
        <v>4338</v>
      </c>
      <c r="AX694" s="105">
        <v>46139</v>
      </c>
      <c r="AY694" s="106">
        <v>46139</v>
      </c>
      <c r="AZ694" s="106" t="s">
        <v>4453</v>
      </c>
      <c r="BA694" s="174" t="s">
        <v>4454</v>
      </c>
      <c r="BB694" s="136" t="s">
        <v>4338</v>
      </c>
      <c r="BC694" s="220">
        <f t="shared" si="75"/>
        <v>62</v>
      </c>
      <c r="BD694" s="103" t="str">
        <f t="shared" si="76"/>
        <v>INDENIZAÇÃO</v>
      </c>
      <c r="BE694" s="103" t="str">
        <f t="shared" si="77"/>
        <v>NÃO</v>
      </c>
      <c r="BF694" s="112" t="s">
        <v>4357</v>
      </c>
      <c r="BG694" s="112" t="s">
        <v>4357</v>
      </c>
      <c r="BH694" s="112" t="s">
        <v>4357</v>
      </c>
      <c r="BI694" s="109" t="s">
        <v>5393</v>
      </c>
      <c r="BJ694" s="109"/>
      <c r="BK694" s="109"/>
      <c r="BL694" s="109"/>
      <c r="BM694" s="239"/>
      <c r="BN694" s="231"/>
    </row>
    <row r="695" spans="1:66" ht="30" customHeight="1">
      <c r="A695" s="103">
        <v>686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/>
      <c r="P695" s="108">
        <v>46084</v>
      </c>
      <c r="Q695" s="105" t="s">
        <v>4436</v>
      </c>
      <c r="R695" s="105">
        <v>46083</v>
      </c>
      <c r="S695" s="108">
        <v>46084</v>
      </c>
      <c r="T695" s="108">
        <v>46087</v>
      </c>
      <c r="U695" s="108">
        <v>46090</v>
      </c>
      <c r="V695" s="105" t="s">
        <v>4437</v>
      </c>
      <c r="W695" s="105" t="s">
        <v>4437</v>
      </c>
      <c r="X695" s="105">
        <v>46101</v>
      </c>
      <c r="Y695" s="105">
        <v>46101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/>
      <c r="AT695" s="103"/>
      <c r="AU695" s="105"/>
      <c r="AV695" s="103"/>
      <c r="AW695" s="107"/>
      <c r="AX695" s="106"/>
      <c r="AY695" s="166"/>
      <c r="AZ695" s="106"/>
      <c r="BA695" s="107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03">
        <v>687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4457</v>
      </c>
      <c r="L696" s="149" t="s">
        <v>7364</v>
      </c>
      <c r="M696" s="103" t="s">
        <v>4333</v>
      </c>
      <c r="N696" s="103" t="s">
        <v>4345</v>
      </c>
      <c r="O696" s="105">
        <v>46055</v>
      </c>
      <c r="P696" s="105">
        <v>46058</v>
      </c>
      <c r="Q696" s="108" t="s">
        <v>4436</v>
      </c>
      <c r="R696" s="105">
        <v>46058</v>
      </c>
      <c r="S696" s="105">
        <v>46058</v>
      </c>
      <c r="T696" s="105">
        <v>46059</v>
      </c>
      <c r="U696" s="105">
        <v>46063</v>
      </c>
      <c r="V696" s="105" t="s">
        <v>4437</v>
      </c>
      <c r="W696" s="105" t="s">
        <v>4437</v>
      </c>
      <c r="X696" s="108">
        <v>46073</v>
      </c>
      <c r="Y696" s="105">
        <v>46078</v>
      </c>
      <c r="Z696" s="105"/>
      <c r="AA696" s="112"/>
      <c r="AB696" s="149" t="s">
        <v>7363</v>
      </c>
      <c r="AC696" s="149" t="s">
        <v>4457</v>
      </c>
      <c r="AD696" s="149" t="s">
        <v>7364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103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12"/>
      <c r="AR696" s="112"/>
      <c r="AS696" s="112"/>
      <c r="AT696" s="112"/>
      <c r="AU696" s="112"/>
      <c r="AV696" s="112"/>
      <c r="AW696" s="112"/>
      <c r="AX696" s="112"/>
      <c r="AY696" s="166"/>
      <c r="AZ696" s="105"/>
      <c r="BA696" s="103"/>
      <c r="BB696" s="136"/>
      <c r="BC696" s="220" t="str">
        <f t="shared" si="75"/>
        <v/>
      </c>
      <c r="BD696" s="103" t="str">
        <f t="shared" si="76"/>
        <v>AA</v>
      </c>
      <c r="BE696" s="103" t="str">
        <f t="shared" si="7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customHeight="1">
      <c r="A697" s="103">
        <v>688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7365</v>
      </c>
      <c r="G697" s="103" t="s">
        <v>4330</v>
      </c>
      <c r="H697" s="103" t="s">
        <v>4331</v>
      </c>
      <c r="I697" s="142" t="s">
        <v>4343</v>
      </c>
      <c r="J697" s="149" t="s">
        <v>7366</v>
      </c>
      <c r="K697" s="149" t="s">
        <v>7367</v>
      </c>
      <c r="L697" s="149">
        <v>41217591842</v>
      </c>
      <c r="M697" s="103" t="s">
        <v>4333</v>
      </c>
      <c r="N697" s="103" t="s">
        <v>4345</v>
      </c>
      <c r="O697" s="105">
        <v>46055</v>
      </c>
      <c r="P697" s="105">
        <v>46058</v>
      </c>
      <c r="Q697" s="108" t="s">
        <v>4436</v>
      </c>
      <c r="R697" s="105">
        <v>46058</v>
      </c>
      <c r="S697" s="105">
        <v>46058</v>
      </c>
      <c r="T697" s="105">
        <v>46059</v>
      </c>
      <c r="U697" s="105">
        <v>46063</v>
      </c>
      <c r="V697" s="105" t="s">
        <v>4437</v>
      </c>
      <c r="W697" s="105" t="s">
        <v>4437</v>
      </c>
      <c r="X697" s="108">
        <v>46073</v>
      </c>
      <c r="Y697" s="105">
        <v>46078</v>
      </c>
      <c r="Z697" s="105"/>
      <c r="AA697" s="112"/>
      <c r="AB697" s="149" t="s">
        <v>7366</v>
      </c>
      <c r="AC697" s="149" t="s">
        <v>7367</v>
      </c>
      <c r="AD697" s="149">
        <v>41217591842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65">
        <v>689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7368</v>
      </c>
      <c r="G698" s="103" t="s">
        <v>4330</v>
      </c>
      <c r="H698" s="103" t="s">
        <v>4331</v>
      </c>
      <c r="I698" s="142" t="s">
        <v>4343</v>
      </c>
      <c r="J698" s="149" t="s">
        <v>7369</v>
      </c>
      <c r="K698" s="149" t="s">
        <v>4457</v>
      </c>
      <c r="L698" s="149" t="s">
        <v>7370</v>
      </c>
      <c r="M698" s="103" t="s">
        <v>4333</v>
      </c>
      <c r="N698" s="103" t="s">
        <v>4345</v>
      </c>
      <c r="O698" s="105">
        <v>46041</v>
      </c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46093</v>
      </c>
      <c r="Z698" s="105"/>
      <c r="AA698" s="112"/>
      <c r="AB698" s="149" t="s">
        <v>7369</v>
      </c>
      <c r="AC698" s="149" t="s">
        <v>4457</v>
      </c>
      <c r="AD698" s="149" t="s">
        <v>7370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8"/>
      <c r="BA698" s="112"/>
      <c r="BB698" s="112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12"/>
      <c r="BG698" s="147"/>
      <c r="BH698" s="147"/>
      <c r="BI698" s="112"/>
      <c r="BJ698" s="112"/>
      <c r="BK698" s="112"/>
      <c r="BL698" s="112"/>
      <c r="BM698" s="236"/>
    </row>
    <row r="699" spans="1:66" ht="30" customHeight="1">
      <c r="A699" s="165">
        <v>690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7371</v>
      </c>
      <c r="G699" s="103" t="s">
        <v>4330</v>
      </c>
      <c r="H699" s="103" t="s">
        <v>4331</v>
      </c>
      <c r="I699" s="142" t="s">
        <v>4343</v>
      </c>
      <c r="J699" s="149" t="s">
        <v>7372</v>
      </c>
      <c r="K699" s="149" t="s">
        <v>7373</v>
      </c>
      <c r="L699" s="149" t="s">
        <v>7374</v>
      </c>
      <c r="M699" s="103" t="s">
        <v>4333</v>
      </c>
      <c r="N699" s="103" t="s">
        <v>4345</v>
      </c>
      <c r="O699" s="105">
        <v>45980</v>
      </c>
      <c r="P699" s="105">
        <v>45986</v>
      </c>
      <c r="Q699" s="108" t="s">
        <v>4436</v>
      </c>
      <c r="R699" s="108">
        <v>45985</v>
      </c>
      <c r="S699" s="108">
        <v>45986</v>
      </c>
      <c r="T699" s="108">
        <v>45987</v>
      </c>
      <c r="U699" s="108">
        <v>45992</v>
      </c>
      <c r="V699" s="108" t="s">
        <v>4437</v>
      </c>
      <c r="W699" s="108" t="s">
        <v>4437</v>
      </c>
      <c r="X699" s="105">
        <v>45999</v>
      </c>
      <c r="Y699" s="105">
        <v>46001</v>
      </c>
      <c r="Z699" s="105"/>
      <c r="AA699" s="103"/>
      <c r="AB699" s="149" t="s">
        <v>7372</v>
      </c>
      <c r="AC699" s="149" t="s">
        <v>7373</v>
      </c>
      <c r="AD699" s="149" t="s">
        <v>7374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212" t="s">
        <v>4355</v>
      </c>
      <c r="AJ699" s="104" t="s">
        <v>4438</v>
      </c>
      <c r="AK699" s="103"/>
      <c r="AL699" s="103"/>
      <c r="AM699" s="103"/>
      <c r="AN699" s="103"/>
      <c r="AO699" s="103"/>
      <c r="AP699" s="171"/>
      <c r="AQ699" s="103"/>
      <c r="AR699" s="103"/>
      <c r="AS699" s="103" t="s">
        <v>4356</v>
      </c>
      <c r="AT699" s="103" t="s">
        <v>4356</v>
      </c>
      <c r="AU699" s="103" t="s">
        <v>4356</v>
      </c>
      <c r="AV699" s="103" t="s">
        <v>4356</v>
      </c>
      <c r="AW699" s="103"/>
      <c r="AX699" s="105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691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7375</v>
      </c>
      <c r="G700" s="103" t="s">
        <v>4330</v>
      </c>
      <c r="H700" s="103" t="s">
        <v>4331</v>
      </c>
      <c r="I700" s="142" t="s">
        <v>4343</v>
      </c>
      <c r="J700" s="149" t="s">
        <v>7376</v>
      </c>
      <c r="K700" s="149" t="s">
        <v>4457</v>
      </c>
      <c r="L700" s="149" t="s">
        <v>7377</v>
      </c>
      <c r="M700" s="103" t="s">
        <v>4333</v>
      </c>
      <c r="N700" s="103" t="s">
        <v>4345</v>
      </c>
      <c r="O700" s="105">
        <v>45980</v>
      </c>
      <c r="P700" s="105">
        <v>45986</v>
      </c>
      <c r="Q700" s="108" t="s">
        <v>4436</v>
      </c>
      <c r="R700" s="108">
        <v>45985</v>
      </c>
      <c r="S700" s="108">
        <v>45986</v>
      </c>
      <c r="T700" s="108">
        <v>45987</v>
      </c>
      <c r="U700" s="108">
        <v>45992</v>
      </c>
      <c r="V700" s="105" t="s">
        <v>4437</v>
      </c>
      <c r="W700" s="105" t="s">
        <v>4437</v>
      </c>
      <c r="X700" s="105">
        <v>45999</v>
      </c>
      <c r="Y700" s="105">
        <v>46001</v>
      </c>
      <c r="Z700" s="108"/>
      <c r="AA700" s="112"/>
      <c r="AB700" s="149" t="s">
        <v>7376</v>
      </c>
      <c r="AC700" s="149" t="s">
        <v>4457</v>
      </c>
      <c r="AD700" s="149" t="s">
        <v>7377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210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 t="s">
        <v>4356</v>
      </c>
      <c r="AT700" s="103" t="s">
        <v>4356</v>
      </c>
      <c r="AU700" s="103" t="s">
        <v>4356</v>
      </c>
      <c r="AV700" s="103" t="s">
        <v>4356</v>
      </c>
      <c r="AW700" s="112"/>
      <c r="AX700" s="112"/>
      <c r="AY700" s="166"/>
      <c r="AZ700" s="105"/>
      <c r="BA700" s="103"/>
      <c r="BB700" s="136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customHeight="1">
      <c r="A701" s="103">
        <v>692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7378</v>
      </c>
      <c r="G701" s="103" t="s">
        <v>4330</v>
      </c>
      <c r="H701" s="103" t="s">
        <v>4331</v>
      </c>
      <c r="I701" s="142" t="s">
        <v>4343</v>
      </c>
      <c r="J701" s="149" t="s">
        <v>7379</v>
      </c>
      <c r="K701" s="149" t="s">
        <v>7380</v>
      </c>
      <c r="L701" s="149" t="s">
        <v>7381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5" t="s">
        <v>4437</v>
      </c>
      <c r="W701" s="105" t="s">
        <v>4437</v>
      </c>
      <c r="X701" s="105">
        <v>45999</v>
      </c>
      <c r="Y701" s="105">
        <v>46002</v>
      </c>
      <c r="Z701" s="105"/>
      <c r="AA701" s="103"/>
      <c r="AB701" s="149" t="s">
        <v>7379</v>
      </c>
      <c r="AC701" s="149" t="s">
        <v>7380</v>
      </c>
      <c r="AD701" s="149" t="s">
        <v>7381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0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03">
        <v>693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7382</v>
      </c>
      <c r="G702" s="103" t="s">
        <v>4330</v>
      </c>
      <c r="H702" s="103" t="s">
        <v>4331</v>
      </c>
      <c r="I702" s="142" t="s">
        <v>4343</v>
      </c>
      <c r="J702" s="149" t="s">
        <v>7383</v>
      </c>
      <c r="K702" s="149" t="s">
        <v>7384</v>
      </c>
      <c r="L702" s="149" t="s">
        <v>7385</v>
      </c>
      <c r="M702" s="103" t="s">
        <v>4333</v>
      </c>
      <c r="N702" s="103" t="s">
        <v>4345</v>
      </c>
      <c r="O702" s="105">
        <v>45980</v>
      </c>
      <c r="P702" s="105">
        <v>46002</v>
      </c>
      <c r="Q702" s="105" t="s">
        <v>4436</v>
      </c>
      <c r="R702" s="105">
        <v>45999</v>
      </c>
      <c r="S702" s="105">
        <v>46006</v>
      </c>
      <c r="T702" s="105">
        <v>46006</v>
      </c>
      <c r="U702" s="105">
        <v>46009</v>
      </c>
      <c r="V702" s="105" t="s">
        <v>4437</v>
      </c>
      <c r="W702" s="105" t="s">
        <v>4437</v>
      </c>
      <c r="X702" s="105">
        <v>46014</v>
      </c>
      <c r="Y702" s="105">
        <v>46020</v>
      </c>
      <c r="Z702" s="108"/>
      <c r="AA702" s="112"/>
      <c r="AB702" s="149" t="s">
        <v>7383</v>
      </c>
      <c r="AC702" s="149" t="s">
        <v>7384</v>
      </c>
      <c r="AD702" s="149" t="s">
        <v>7385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65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694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7386</v>
      </c>
      <c r="G703" s="103" t="s">
        <v>4330</v>
      </c>
      <c r="H703" s="103" t="s">
        <v>4331</v>
      </c>
      <c r="I703" s="142" t="s">
        <v>4343</v>
      </c>
      <c r="J703" s="149" t="s">
        <v>7387</v>
      </c>
      <c r="K703" s="149" t="s">
        <v>7388</v>
      </c>
      <c r="L703" s="149" t="s">
        <v>7389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46001</v>
      </c>
      <c r="Z703" s="108"/>
      <c r="AA703" s="112"/>
      <c r="AB703" s="149" t="s">
        <v>7387</v>
      </c>
      <c r="AC703" s="149" t="s">
        <v>7388</v>
      </c>
      <c r="AD703" s="149" t="s">
        <v>7389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2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12"/>
      <c r="AX703" s="112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65">
        <v>695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7390</v>
      </c>
      <c r="G704" s="103" t="s">
        <v>4330</v>
      </c>
      <c r="H704" s="103" t="s">
        <v>4331</v>
      </c>
      <c r="I704" s="142" t="s">
        <v>4343</v>
      </c>
      <c r="J704" s="149" t="s">
        <v>7391</v>
      </c>
      <c r="K704" s="149" t="s">
        <v>7392</v>
      </c>
      <c r="L704" s="149" t="s">
        <v>7393</v>
      </c>
      <c r="M704" s="103" t="s">
        <v>4333</v>
      </c>
      <c r="N704" s="103" t="s">
        <v>4345</v>
      </c>
      <c r="O704" s="108">
        <v>45993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5" t="s">
        <v>4437</v>
      </c>
      <c r="W704" s="105" t="s">
        <v>4437</v>
      </c>
      <c r="X704" s="105">
        <v>45999</v>
      </c>
      <c r="Y704" s="105">
        <v>46002</v>
      </c>
      <c r="Z704" s="108"/>
      <c r="AA704" s="112"/>
      <c r="AB704" s="149" t="s">
        <v>7391</v>
      </c>
      <c r="AC704" s="149" t="s">
        <v>7392</v>
      </c>
      <c r="AD704" s="149" t="s">
        <v>7393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0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65">
        <v>696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7394</v>
      </c>
      <c r="G705" s="103" t="s">
        <v>4330</v>
      </c>
      <c r="H705" s="103" t="s">
        <v>4331</v>
      </c>
      <c r="I705" s="142" t="s">
        <v>4343</v>
      </c>
      <c r="J705" s="149" t="s">
        <v>7395</v>
      </c>
      <c r="K705" s="149" t="s">
        <v>7396</v>
      </c>
      <c r="L705" s="149" t="s">
        <v>7397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8" t="s">
        <v>4437</v>
      </c>
      <c r="W705" s="108" t="s">
        <v>4437</v>
      </c>
      <c r="X705" s="105">
        <v>45999</v>
      </c>
      <c r="Y705" s="105">
        <v>46002</v>
      </c>
      <c r="Z705" s="108"/>
      <c r="AA705" s="112"/>
      <c r="AB705" s="149" t="s">
        <v>7395</v>
      </c>
      <c r="AC705" s="149" t="s">
        <v>7396</v>
      </c>
      <c r="AD705" s="149" t="s">
        <v>7397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697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7398</v>
      </c>
      <c r="G706" s="103" t="s">
        <v>4330</v>
      </c>
      <c r="H706" s="103" t="s">
        <v>4331</v>
      </c>
      <c r="I706" s="142" t="s">
        <v>4343</v>
      </c>
      <c r="J706" s="149" t="s">
        <v>7399</v>
      </c>
      <c r="K706" s="149" t="s">
        <v>7400</v>
      </c>
      <c r="L706" s="149" t="s">
        <v>7401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46000</v>
      </c>
      <c r="Z706" s="108"/>
      <c r="AA706" s="112"/>
      <c r="AB706" s="149" t="s">
        <v>7399</v>
      </c>
      <c r="AC706" s="149" t="s">
        <v>7400</v>
      </c>
      <c r="AD706" s="149" t="s">
        <v>7401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03">
        <v>698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7402</v>
      </c>
      <c r="G707" s="103" t="s">
        <v>4330</v>
      </c>
      <c r="H707" s="103" t="s">
        <v>4331</v>
      </c>
      <c r="I707" s="142" t="s">
        <v>4343</v>
      </c>
      <c r="J707" s="149" t="s">
        <v>7403</v>
      </c>
      <c r="K707" s="149" t="s">
        <v>7404</v>
      </c>
      <c r="L707" s="149" t="s">
        <v>7405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5" t="s">
        <v>4437</v>
      </c>
      <c r="W707" s="105" t="s">
        <v>4437</v>
      </c>
      <c r="X707" s="105">
        <v>45999</v>
      </c>
      <c r="Y707" s="105">
        <v>46001</v>
      </c>
      <c r="Z707" s="105"/>
      <c r="AA707" s="103"/>
      <c r="AB707" s="149" t="s">
        <v>7403</v>
      </c>
      <c r="AC707" s="149" t="s">
        <v>7404</v>
      </c>
      <c r="AD707" s="149" t="s">
        <v>7405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03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03"/>
      <c r="AX707" s="105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03">
        <v>699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7406</v>
      </c>
      <c r="G708" s="103" t="s">
        <v>4330</v>
      </c>
      <c r="H708" s="103" t="s">
        <v>4331</v>
      </c>
      <c r="I708" s="142" t="s">
        <v>4343</v>
      </c>
      <c r="J708" s="149" t="s">
        <v>7407</v>
      </c>
      <c r="K708" s="149" t="s">
        <v>7408</v>
      </c>
      <c r="L708" s="149" t="s">
        <v>7409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40" t="s">
        <v>4436</v>
      </c>
      <c r="R708" s="105">
        <v>45985</v>
      </c>
      <c r="S708" s="105">
        <v>45986</v>
      </c>
      <c r="T708" s="105">
        <v>45987</v>
      </c>
      <c r="U708" s="105">
        <v>45992</v>
      </c>
      <c r="V708" s="140" t="s">
        <v>4437</v>
      </c>
      <c r="W708" s="140" t="s">
        <v>4437</v>
      </c>
      <c r="X708" s="105">
        <v>45999</v>
      </c>
      <c r="Y708" s="105">
        <v>46001</v>
      </c>
      <c r="Z708" s="105"/>
      <c r="AA708" s="103"/>
      <c r="AB708" s="149" t="s">
        <v>7407</v>
      </c>
      <c r="AC708" s="149" t="s">
        <v>7408</v>
      </c>
      <c r="AD708" s="149" t="s">
        <v>7409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03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03"/>
      <c r="AX708" s="105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700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7410</v>
      </c>
      <c r="G709" s="103" t="s">
        <v>4330</v>
      </c>
      <c r="H709" s="103" t="s">
        <v>4331</v>
      </c>
      <c r="I709" s="142" t="s">
        <v>4343</v>
      </c>
      <c r="J709" s="149" t="s">
        <v>7411</v>
      </c>
      <c r="K709" s="149" t="s">
        <v>4457</v>
      </c>
      <c r="L709" s="149" t="s">
        <v>7412</v>
      </c>
      <c r="M709" s="103" t="s">
        <v>4333</v>
      </c>
      <c r="N709" s="103" t="s">
        <v>4345</v>
      </c>
      <c r="O709" s="105"/>
      <c r="P709" s="105">
        <v>46031</v>
      </c>
      <c r="Q709" s="105" t="s">
        <v>4436</v>
      </c>
      <c r="R709" s="105">
        <v>46023</v>
      </c>
      <c r="S709" s="105">
        <v>46023</v>
      </c>
      <c r="T709" s="105">
        <v>46036</v>
      </c>
      <c r="U709" s="105">
        <v>46045</v>
      </c>
      <c r="V709" s="105" t="s">
        <v>4437</v>
      </c>
      <c r="W709" s="105" t="s">
        <v>4437</v>
      </c>
      <c r="X709" s="105">
        <v>46055</v>
      </c>
      <c r="Y709" s="105">
        <v>46056</v>
      </c>
      <c r="Z709" s="105"/>
      <c r="AA709" s="103"/>
      <c r="AB709" s="149" t="s">
        <v>7411</v>
      </c>
      <c r="AC709" s="149" t="s">
        <v>4457</v>
      </c>
      <c r="AD709" s="149" t="s">
        <v>7412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165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/>
      <c r="AT709" s="103"/>
      <c r="AU709" s="105"/>
      <c r="AV709" s="112"/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65">
        <v>701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7413</v>
      </c>
      <c r="G710" s="103" t="s">
        <v>4330</v>
      </c>
      <c r="H710" s="103" t="s">
        <v>4331</v>
      </c>
      <c r="I710" s="142" t="s">
        <v>4343</v>
      </c>
      <c r="J710" s="149" t="s">
        <v>7414</v>
      </c>
      <c r="K710" s="149" t="s">
        <v>7415</v>
      </c>
      <c r="L710" s="149" t="s">
        <v>7416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46001</v>
      </c>
      <c r="Z710" s="108"/>
      <c r="AA710" s="112"/>
      <c r="AB710" s="149" t="s">
        <v>7414</v>
      </c>
      <c r="AC710" s="149" t="s">
        <v>7415</v>
      </c>
      <c r="AD710" s="149" t="s">
        <v>7416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2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65">
        <v>702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7417</v>
      </c>
      <c r="G711" s="103" t="s">
        <v>4330</v>
      </c>
      <c r="H711" s="103" t="s">
        <v>4331</v>
      </c>
      <c r="I711" s="142" t="s">
        <v>4343</v>
      </c>
      <c r="J711" s="149" t="s">
        <v>7418</v>
      </c>
      <c r="K711" s="149" t="s">
        <v>7419</v>
      </c>
      <c r="L711" s="149" t="s">
        <v>7420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46001</v>
      </c>
      <c r="Z711" s="105"/>
      <c r="AA711" s="103"/>
      <c r="AB711" s="149" t="s">
        <v>7418</v>
      </c>
      <c r="AC711" s="149" t="s">
        <v>7419</v>
      </c>
      <c r="AD711" s="149" t="s">
        <v>7420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703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7421</v>
      </c>
      <c r="G712" s="103" t="s">
        <v>4330</v>
      </c>
      <c r="H712" s="103" t="s">
        <v>4331</v>
      </c>
      <c r="I712" s="142" t="s">
        <v>4343</v>
      </c>
      <c r="J712" s="150" t="s">
        <v>7422</v>
      </c>
      <c r="K712" s="149" t="s">
        <v>7423</v>
      </c>
      <c r="L712" s="149" t="s">
        <v>7424</v>
      </c>
      <c r="M712" s="103" t="s">
        <v>4333</v>
      </c>
      <c r="N712" s="103" t="s">
        <v>4345</v>
      </c>
      <c r="O712" s="108"/>
      <c r="P712" s="108">
        <v>46031</v>
      </c>
      <c r="Q712" s="105" t="s">
        <v>4436</v>
      </c>
      <c r="R712" s="108">
        <v>46030</v>
      </c>
      <c r="S712" s="108">
        <v>46031</v>
      </c>
      <c r="T712" s="108">
        <v>46036</v>
      </c>
      <c r="U712" s="108">
        <v>46045</v>
      </c>
      <c r="V712" s="108" t="s">
        <v>4437</v>
      </c>
      <c r="W712" s="108" t="s">
        <v>4437</v>
      </c>
      <c r="X712" s="105">
        <v>46055</v>
      </c>
      <c r="Y712" s="108">
        <v>46058</v>
      </c>
      <c r="Z712" s="108"/>
      <c r="AA712" s="112"/>
      <c r="AB712" s="150" t="s">
        <v>7422</v>
      </c>
      <c r="AC712" s="149" t="s">
        <v>7423</v>
      </c>
      <c r="AD712" s="149" t="s">
        <v>7424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165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12"/>
      <c r="AR712" s="112"/>
      <c r="AS712" s="112"/>
      <c r="AT712" s="112"/>
      <c r="AU712" s="112"/>
      <c r="AV712" s="112"/>
      <c r="AW712" s="112"/>
      <c r="AX712" s="112"/>
      <c r="AY712" s="166"/>
      <c r="AZ712" s="108"/>
      <c r="BA712" s="112"/>
      <c r="BB712" s="112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12"/>
      <c r="BG712" s="147"/>
      <c r="BH712" s="147"/>
      <c r="BI712" s="112"/>
      <c r="BJ712" s="112"/>
      <c r="BK712" s="112"/>
      <c r="BL712" s="112"/>
      <c r="BM712" s="236"/>
    </row>
    <row r="713" spans="1:69" ht="30" customHeight="1">
      <c r="A713" s="103">
        <v>704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7425</v>
      </c>
      <c r="G713" s="103" t="s">
        <v>4330</v>
      </c>
      <c r="H713" s="103" t="s">
        <v>4331</v>
      </c>
      <c r="I713" s="142" t="s">
        <v>4343</v>
      </c>
      <c r="J713" s="114" t="s">
        <v>7426</v>
      </c>
      <c r="K713" s="149" t="s">
        <v>7427</v>
      </c>
      <c r="L713" s="149" t="s">
        <v>7428</v>
      </c>
      <c r="M713" s="103" t="s">
        <v>4333</v>
      </c>
      <c r="N713" s="103" t="s">
        <v>4459</v>
      </c>
      <c r="O713" s="105">
        <v>46038</v>
      </c>
      <c r="P713" s="105" t="s">
        <v>4356</v>
      </c>
      <c r="Q713" s="105" t="s">
        <v>4356</v>
      </c>
      <c r="R713" s="105" t="s">
        <v>4356</v>
      </c>
      <c r="S713" s="105" t="s">
        <v>4356</v>
      </c>
      <c r="T713" s="105" t="s">
        <v>4356</v>
      </c>
      <c r="U713" s="105" t="s">
        <v>4356</v>
      </c>
      <c r="V713" s="105" t="s">
        <v>4356</v>
      </c>
      <c r="W713" s="105" t="s">
        <v>4356</v>
      </c>
      <c r="X713" s="105" t="s">
        <v>4356</v>
      </c>
      <c r="Y713" s="105" t="s">
        <v>4356</v>
      </c>
      <c r="Z713" s="105"/>
      <c r="AA713" s="105"/>
      <c r="AB713" s="114" t="s">
        <v>7426</v>
      </c>
      <c r="AC713" s="149" t="s">
        <v>7427</v>
      </c>
      <c r="AD713" s="149" t="s">
        <v>7428</v>
      </c>
      <c r="AE713" s="103" t="s">
        <v>4343</v>
      </c>
      <c r="AF713" s="103" t="s">
        <v>4333</v>
      </c>
      <c r="AG713" s="194">
        <v>4137.6400000000003</v>
      </c>
      <c r="AH713" s="194">
        <f>AG713+30000</f>
        <v>34137.64</v>
      </c>
      <c r="AI713" s="103" t="s">
        <v>4336</v>
      </c>
      <c r="AJ713" s="104" t="s">
        <v>4438</v>
      </c>
      <c r="AK713" s="103">
        <v>148267454</v>
      </c>
      <c r="AL713" s="103" t="s">
        <v>4338</v>
      </c>
      <c r="AM713" s="103" t="s">
        <v>4338</v>
      </c>
      <c r="AN713" s="103" t="s">
        <v>4339</v>
      </c>
      <c r="AO713" s="103"/>
      <c r="AP713" s="171" t="s">
        <v>7429</v>
      </c>
      <c r="AQ713" s="103" t="s">
        <v>4338</v>
      </c>
      <c r="AR713" s="103" t="s">
        <v>4338</v>
      </c>
      <c r="AS713" s="103" t="s">
        <v>4338</v>
      </c>
      <c r="AT713" s="103" t="s">
        <v>4338</v>
      </c>
      <c r="AU713" s="105">
        <v>46084</v>
      </c>
      <c r="AV713" s="112" t="s">
        <v>4338</v>
      </c>
      <c r="AW713" s="112" t="s">
        <v>4338</v>
      </c>
      <c r="AX713" s="111">
        <v>46092</v>
      </c>
      <c r="AY713" s="157">
        <v>46092</v>
      </c>
      <c r="AZ713" s="157" t="s">
        <v>4453</v>
      </c>
      <c r="BA713" s="107" t="s">
        <v>4454</v>
      </c>
      <c r="BB713" s="136" t="s">
        <v>4338</v>
      </c>
      <c r="BC713" s="220">
        <f t="shared" si="75"/>
        <v>54</v>
      </c>
      <c r="BD713" s="103" t="str">
        <f t="shared" si="76"/>
        <v>INDENIZAÇÃO</v>
      </c>
      <c r="BE713" s="103" t="str">
        <f t="shared" si="77"/>
        <v>NÃO</v>
      </c>
      <c r="BF713" s="140" t="s">
        <v>4357</v>
      </c>
      <c r="BG713" s="140" t="s">
        <v>4357</v>
      </c>
      <c r="BH713" s="140" t="s">
        <v>4357</v>
      </c>
      <c r="BI713" s="154" t="s">
        <v>5393</v>
      </c>
      <c r="BJ713" s="154"/>
      <c r="BK713" s="154"/>
      <c r="BL713" s="154"/>
      <c r="BM713" s="237"/>
      <c r="BN713" s="231"/>
    </row>
    <row r="714" spans="1:69" ht="30" customHeight="1">
      <c r="A714" s="103">
        <v>705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49" t="s">
        <v>7431</v>
      </c>
      <c r="K714" s="149" t="s">
        <v>7432</v>
      </c>
      <c r="L714" s="149" t="s">
        <v>7433</v>
      </c>
      <c r="M714" s="103" t="s">
        <v>4333</v>
      </c>
      <c r="N714" s="103" t="s">
        <v>4459</v>
      </c>
      <c r="O714" s="105">
        <v>46086</v>
      </c>
      <c r="P714" s="105" t="s">
        <v>4356</v>
      </c>
      <c r="Q714" s="105" t="s">
        <v>4356</v>
      </c>
      <c r="R714" s="105" t="s">
        <v>4356</v>
      </c>
      <c r="S714" s="105" t="s">
        <v>4356</v>
      </c>
      <c r="T714" s="105" t="s">
        <v>4356</v>
      </c>
      <c r="U714" s="105" t="s">
        <v>4356</v>
      </c>
      <c r="V714" s="105" t="s">
        <v>4356</v>
      </c>
      <c r="W714" s="105" t="s">
        <v>4356</v>
      </c>
      <c r="X714" s="105" t="s">
        <v>4356</v>
      </c>
      <c r="Y714" s="105" t="s">
        <v>4356</v>
      </c>
      <c r="Z714" s="105"/>
      <c r="AA714" s="105"/>
      <c r="AB714" s="149" t="s">
        <v>7434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>
        <v>882.38</v>
      </c>
      <c r="AH714" s="194">
        <f>AG714+30000</f>
        <v>30882.38</v>
      </c>
      <c r="AI714" s="103" t="s">
        <v>4447</v>
      </c>
      <c r="AJ714" s="104" t="s">
        <v>4438</v>
      </c>
      <c r="AK714" s="103">
        <v>150959925</v>
      </c>
      <c r="AL714" s="103" t="s">
        <v>4338</v>
      </c>
      <c r="AM714" s="103" t="s">
        <v>4338</v>
      </c>
      <c r="AN714" s="103" t="s">
        <v>4339</v>
      </c>
      <c r="AO714" s="112"/>
      <c r="AP714" s="171" t="s">
        <v>7435</v>
      </c>
      <c r="AQ714" s="103" t="s">
        <v>4338</v>
      </c>
      <c r="AR714" s="103" t="s">
        <v>4338</v>
      </c>
      <c r="AS714" s="103" t="s">
        <v>4338</v>
      </c>
      <c r="AT714" s="103" t="s">
        <v>4338</v>
      </c>
      <c r="AU714" s="105">
        <v>46153</v>
      </c>
      <c r="AV714" s="103" t="s">
        <v>4338</v>
      </c>
      <c r="AW714" s="103" t="s">
        <v>4338</v>
      </c>
      <c r="AX714" s="105">
        <v>46157</v>
      </c>
      <c r="AY714" s="106">
        <v>46157</v>
      </c>
      <c r="AZ714" s="106" t="s">
        <v>4453</v>
      </c>
      <c r="BA714" s="174" t="s">
        <v>4454</v>
      </c>
      <c r="BB714" s="136" t="s">
        <v>4338</v>
      </c>
      <c r="BC714" s="220">
        <f t="shared" si="75"/>
        <v>71</v>
      </c>
      <c r="BD714" s="103" t="str">
        <f t="shared" si="76"/>
        <v>INDENIZAÇÃO</v>
      </c>
      <c r="BE714" s="103" t="str">
        <f t="shared" si="77"/>
        <v>NÃO</v>
      </c>
      <c r="BF714" s="140" t="s">
        <v>4357</v>
      </c>
      <c r="BG714" s="140" t="s">
        <v>4357</v>
      </c>
      <c r="BH714" s="140" t="s">
        <v>4357</v>
      </c>
      <c r="BI714" s="154" t="s">
        <v>5393</v>
      </c>
      <c r="BJ714" s="154"/>
      <c r="BK714" s="154"/>
      <c r="BL714" s="154"/>
      <c r="BM714" s="237"/>
      <c r="BN714" s="231"/>
      <c r="BO714" s="232"/>
      <c r="BP714" s="232"/>
      <c r="BQ714" s="232"/>
    </row>
    <row r="715" spans="1:69" ht="30" customHeight="1">
      <c r="A715" s="103">
        <v>706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7436</v>
      </c>
      <c r="G715" s="103" t="s">
        <v>4330</v>
      </c>
      <c r="H715" s="103" t="s">
        <v>4331</v>
      </c>
      <c r="I715" s="142" t="s">
        <v>4343</v>
      </c>
      <c r="J715" s="114" t="s">
        <v>7437</v>
      </c>
      <c r="K715" s="149" t="s">
        <v>7438</v>
      </c>
      <c r="L715" s="149" t="s">
        <v>7439</v>
      </c>
      <c r="M715" s="103" t="s">
        <v>4333</v>
      </c>
      <c r="N715" s="103" t="s">
        <v>4459</v>
      </c>
      <c r="O715" s="105">
        <v>45980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49" t="s">
        <v>7440</v>
      </c>
      <c r="AC715" s="149" t="s">
        <v>7438</v>
      </c>
      <c r="AD715" s="149" t="s">
        <v>7439</v>
      </c>
      <c r="AE715" s="103" t="s">
        <v>4343</v>
      </c>
      <c r="AF715" s="103" t="s">
        <v>4333</v>
      </c>
      <c r="AG715" s="194">
        <v>4668.95</v>
      </c>
      <c r="AH715" s="194">
        <f>AG715+30000</f>
        <v>34668.949999999997</v>
      </c>
      <c r="AI715" s="103" t="s">
        <v>4336</v>
      </c>
      <c r="AJ715" s="104" t="s">
        <v>4438</v>
      </c>
      <c r="AK715" s="103">
        <v>146672839</v>
      </c>
      <c r="AL715" s="103" t="s">
        <v>4338</v>
      </c>
      <c r="AM715" s="103" t="s">
        <v>4338</v>
      </c>
      <c r="AN715" s="103" t="s">
        <v>4339</v>
      </c>
      <c r="AO715" s="112"/>
      <c r="AP715" s="171" t="s">
        <v>7441</v>
      </c>
      <c r="AQ715" s="103" t="s">
        <v>4338</v>
      </c>
      <c r="AR715" s="103" t="s">
        <v>4338</v>
      </c>
      <c r="AS715" s="103" t="s">
        <v>4338</v>
      </c>
      <c r="AT715" s="165" t="s">
        <v>4338</v>
      </c>
      <c r="AU715" s="105">
        <v>46008</v>
      </c>
      <c r="AV715" s="112" t="s">
        <v>4338</v>
      </c>
      <c r="AW715" s="103" t="s">
        <v>4338</v>
      </c>
      <c r="AX715" s="111">
        <v>46021</v>
      </c>
      <c r="AY715" s="106">
        <v>46021</v>
      </c>
      <c r="AZ715" s="157" t="s">
        <v>4453</v>
      </c>
      <c r="BA715" s="174" t="s">
        <v>4454</v>
      </c>
      <c r="BB715" s="136" t="s">
        <v>4338</v>
      </c>
      <c r="BC715" s="220">
        <f t="shared" si="75"/>
        <v>41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03" t="s">
        <v>4338</v>
      </c>
      <c r="BJ715" s="103" t="s">
        <v>4338</v>
      </c>
      <c r="BK715" s="105">
        <v>46205</v>
      </c>
      <c r="BL715" s="154" t="s">
        <v>4461</v>
      </c>
      <c r="BM715" s="237"/>
      <c r="BN715" s="231"/>
      <c r="BO715" s="232"/>
    </row>
    <row r="716" spans="1:69" ht="30" customHeight="1">
      <c r="A716" s="165">
        <v>707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7442</v>
      </c>
      <c r="G716" s="103" t="s">
        <v>4330</v>
      </c>
      <c r="H716" s="103" t="s">
        <v>4331</v>
      </c>
      <c r="I716" s="142" t="s">
        <v>4343</v>
      </c>
      <c r="J716" s="149" t="s">
        <v>7443</v>
      </c>
      <c r="K716" s="149" t="s">
        <v>7444</v>
      </c>
      <c r="L716" s="149" t="s">
        <v>7445</v>
      </c>
      <c r="M716" s="103" t="s">
        <v>4333</v>
      </c>
      <c r="N716" s="103" t="s">
        <v>4345</v>
      </c>
      <c r="O716" s="142"/>
      <c r="P716" s="105">
        <v>46058</v>
      </c>
      <c r="Q716" s="108" t="s">
        <v>4436</v>
      </c>
      <c r="R716" s="105">
        <v>46058</v>
      </c>
      <c r="S716" s="105">
        <v>46058</v>
      </c>
      <c r="T716" s="105">
        <v>46059</v>
      </c>
      <c r="U716" s="105">
        <v>46063</v>
      </c>
      <c r="V716" s="105" t="s">
        <v>4437</v>
      </c>
      <c r="W716" s="105" t="s">
        <v>4437</v>
      </c>
      <c r="X716" s="108">
        <v>46073</v>
      </c>
      <c r="Y716" s="105">
        <v>46083</v>
      </c>
      <c r="Z716" s="105"/>
      <c r="AA716" s="103"/>
      <c r="AB716" s="149" t="s">
        <v>7443</v>
      </c>
      <c r="AC716" s="149" t="s">
        <v>7444</v>
      </c>
      <c r="AD716" s="149" t="s">
        <v>7445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103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/>
      <c r="AT716" s="103"/>
      <c r="AU716" s="105"/>
      <c r="AV716" s="112"/>
      <c r="AW716" s="103"/>
      <c r="AX716" s="105"/>
      <c r="AY716" s="166"/>
      <c r="AZ716" s="105"/>
      <c r="BA716" s="103"/>
      <c r="BB716" s="136"/>
      <c r="BC716" s="220" t="str">
        <f t="shared" si="75"/>
        <v/>
      </c>
      <c r="BD716" s="103" t="str">
        <f t="shared" si="76"/>
        <v>AA</v>
      </c>
      <c r="BE716" s="103" t="str">
        <f t="shared" si="77"/>
        <v>NÃO</v>
      </c>
      <c r="BF716" s="140"/>
      <c r="BG716" s="140"/>
      <c r="BH716" s="140"/>
      <c r="BI716" s="140"/>
      <c r="BJ716" s="140"/>
      <c r="BK716" s="140"/>
      <c r="BL716" s="140"/>
      <c r="BM716" s="238"/>
      <c r="BN716" s="232"/>
    </row>
    <row r="717" spans="1:69" ht="30" customHeight="1">
      <c r="A717" s="165">
        <v>708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7446</v>
      </c>
      <c r="G717" s="103" t="s">
        <v>4330</v>
      </c>
      <c r="H717" s="103" t="s">
        <v>4331</v>
      </c>
      <c r="I717" s="142" t="s">
        <v>4343</v>
      </c>
      <c r="J717" s="149" t="s">
        <v>7434</v>
      </c>
      <c r="K717" s="149" t="s">
        <v>7447</v>
      </c>
      <c r="L717" s="149" t="s">
        <v>7448</v>
      </c>
      <c r="M717" s="103" t="s">
        <v>4333</v>
      </c>
      <c r="N717" s="103" t="s">
        <v>4345</v>
      </c>
      <c r="O717" s="105">
        <v>45996</v>
      </c>
      <c r="P717" s="105">
        <v>46002</v>
      </c>
      <c r="Q717" s="105" t="s">
        <v>4436</v>
      </c>
      <c r="R717" s="105">
        <v>45999</v>
      </c>
      <c r="S717" s="105">
        <v>46006</v>
      </c>
      <c r="T717" s="105">
        <v>46006</v>
      </c>
      <c r="U717" s="105">
        <v>46009</v>
      </c>
      <c r="V717" s="105" t="s">
        <v>4437</v>
      </c>
      <c r="W717" s="105" t="s">
        <v>4437</v>
      </c>
      <c r="X717" s="105">
        <v>46014</v>
      </c>
      <c r="Y717" s="105">
        <v>46027</v>
      </c>
      <c r="Z717" s="105"/>
      <c r="AA717" s="103"/>
      <c r="AB717" s="149" t="s">
        <v>7434</v>
      </c>
      <c r="AC717" s="149" t="s">
        <v>7447</v>
      </c>
      <c r="AD717" s="149" t="s">
        <v>7448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03" t="s">
        <v>4355</v>
      </c>
      <c r="AJ717" s="104" t="s">
        <v>4438</v>
      </c>
      <c r="AK717" s="103"/>
      <c r="AL717" s="103"/>
      <c r="AM717" s="103"/>
      <c r="AN717" s="103"/>
      <c r="AO717" s="103"/>
      <c r="AP717" s="171"/>
      <c r="AQ717" s="103"/>
      <c r="AR717" s="103"/>
      <c r="AS717" s="103"/>
      <c r="AT717" s="103"/>
      <c r="AU717" s="105"/>
      <c r="AV717" s="112"/>
      <c r="AW717" s="103"/>
      <c r="AX717" s="105"/>
      <c r="AY717" s="166"/>
      <c r="AZ717" s="105"/>
      <c r="BA717" s="103"/>
      <c r="BB717" s="136"/>
      <c r="BC717" s="220" t="str">
        <f t="shared" si="75"/>
        <v/>
      </c>
      <c r="BD717" s="103" t="str">
        <f t="shared" si="76"/>
        <v>AA</v>
      </c>
      <c r="BE717" s="103" t="str">
        <f t="shared" si="77"/>
        <v>NÃO</v>
      </c>
      <c r="BF717" s="140"/>
      <c r="BG717" s="140"/>
      <c r="BH717" s="140"/>
      <c r="BI717" s="140"/>
      <c r="BJ717" s="140"/>
      <c r="BK717" s="140"/>
      <c r="BL717" s="140"/>
      <c r="BM717" s="238"/>
    </row>
    <row r="718" spans="1:69" ht="30" customHeight="1">
      <c r="A718" s="165">
        <v>709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7449</v>
      </c>
      <c r="G718" s="103" t="s">
        <v>4330</v>
      </c>
      <c r="H718" s="103" t="s">
        <v>4331</v>
      </c>
      <c r="I718" s="142" t="s">
        <v>4343</v>
      </c>
      <c r="J718" s="149" t="s">
        <v>7440</v>
      </c>
      <c r="K718" s="149" t="s">
        <v>7450</v>
      </c>
      <c r="L718" s="149" t="s">
        <v>7451</v>
      </c>
      <c r="M718" s="103" t="s">
        <v>4333</v>
      </c>
      <c r="N718" s="103" t="s">
        <v>4345</v>
      </c>
      <c r="O718" s="105">
        <v>45996</v>
      </c>
      <c r="P718" s="105">
        <v>46084</v>
      </c>
      <c r="Q718" s="105" t="s">
        <v>4436</v>
      </c>
      <c r="R718" s="105">
        <v>46083</v>
      </c>
      <c r="S718" s="108">
        <v>46084</v>
      </c>
      <c r="T718" s="108">
        <v>46087</v>
      </c>
      <c r="U718" s="108">
        <v>46090</v>
      </c>
      <c r="V718" s="105" t="s">
        <v>4437</v>
      </c>
      <c r="W718" s="105" t="s">
        <v>4437</v>
      </c>
      <c r="X718" s="105">
        <v>46101</v>
      </c>
      <c r="Y718" s="105">
        <v>46101</v>
      </c>
      <c r="Z718" s="105"/>
      <c r="AA718" s="105"/>
      <c r="AB718" s="149" t="s">
        <v>7440</v>
      </c>
      <c r="AC718" s="149" t="s">
        <v>7450</v>
      </c>
      <c r="AD718" s="149" t="s">
        <v>7451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</row>
    <row r="719" spans="1:69" ht="30" customHeight="1">
      <c r="A719" s="103">
        <v>710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7452</v>
      </c>
      <c r="G719" s="103" t="s">
        <v>4330</v>
      </c>
      <c r="H719" s="103" t="s">
        <v>4331</v>
      </c>
      <c r="I719" s="142" t="s">
        <v>4343</v>
      </c>
      <c r="J719" s="149" t="s">
        <v>7453</v>
      </c>
      <c r="K719" s="149" t="s">
        <v>7454</v>
      </c>
      <c r="L719" s="149" t="s">
        <v>7455</v>
      </c>
      <c r="M719" s="103" t="s">
        <v>4333</v>
      </c>
      <c r="N719" s="103" t="s">
        <v>4345</v>
      </c>
      <c r="O719" s="105">
        <v>45980</v>
      </c>
      <c r="P719" s="105">
        <v>45986</v>
      </c>
      <c r="Q719" s="108" t="s">
        <v>4436</v>
      </c>
      <c r="R719" s="108">
        <v>45985</v>
      </c>
      <c r="S719" s="108">
        <v>45986</v>
      </c>
      <c r="T719" s="108">
        <v>45987</v>
      </c>
      <c r="U719" s="108">
        <v>45992</v>
      </c>
      <c r="V719" s="105" t="s">
        <v>4437</v>
      </c>
      <c r="W719" s="105" t="s">
        <v>4437</v>
      </c>
      <c r="X719" s="105">
        <v>45999</v>
      </c>
      <c r="Y719" s="105">
        <v>46001</v>
      </c>
      <c r="Z719" s="105"/>
      <c r="AA719" s="103"/>
      <c r="AB719" s="149" t="s">
        <v>7453</v>
      </c>
      <c r="AC719" s="149" t="s">
        <v>7454</v>
      </c>
      <c r="AD719" s="149" t="s">
        <v>7455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212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 t="s">
        <v>4356</v>
      </c>
      <c r="AT719" s="103" t="s">
        <v>4356</v>
      </c>
      <c r="AU719" s="103" t="s">
        <v>4356</v>
      </c>
      <c r="AV719" s="103" t="s">
        <v>4356</v>
      </c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03">
        <v>711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7456</v>
      </c>
      <c r="G720" s="103" t="s">
        <v>4330</v>
      </c>
      <c r="H720" s="103" t="s">
        <v>4331</v>
      </c>
      <c r="I720" s="142" t="s">
        <v>4343</v>
      </c>
      <c r="J720" s="114" t="s">
        <v>7457</v>
      </c>
      <c r="K720" s="149" t="s">
        <v>7458</v>
      </c>
      <c r="L720" s="149" t="s">
        <v>7459</v>
      </c>
      <c r="M720" s="103" t="s">
        <v>4333</v>
      </c>
      <c r="N720" s="103" t="s">
        <v>4345</v>
      </c>
      <c r="O720" s="105">
        <v>45980</v>
      </c>
      <c r="P720" s="105">
        <v>45986</v>
      </c>
      <c r="Q720" s="108" t="s">
        <v>4436</v>
      </c>
      <c r="R720" s="108">
        <v>45985</v>
      </c>
      <c r="S720" s="108">
        <v>45986</v>
      </c>
      <c r="T720" s="108">
        <v>45987</v>
      </c>
      <c r="U720" s="108">
        <v>45992</v>
      </c>
      <c r="V720" s="105" t="s">
        <v>4437</v>
      </c>
      <c r="W720" s="105" t="s">
        <v>4437</v>
      </c>
      <c r="X720" s="105">
        <v>45999</v>
      </c>
      <c r="Y720" s="105">
        <v>46001</v>
      </c>
      <c r="Z720" s="105"/>
      <c r="AA720" s="103"/>
      <c r="AB720" s="114" t="s">
        <v>7457</v>
      </c>
      <c r="AC720" s="149" t="s">
        <v>7458</v>
      </c>
      <c r="AD720" s="149" t="s">
        <v>7459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210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 t="s">
        <v>4356</v>
      </c>
      <c r="AT720" s="103" t="s">
        <v>4356</v>
      </c>
      <c r="AU720" s="103" t="s">
        <v>4356</v>
      </c>
      <c r="AV720" s="103" t="s">
        <v>4356</v>
      </c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712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7460</v>
      </c>
      <c r="G721" s="103" t="s">
        <v>4330</v>
      </c>
      <c r="H721" s="103" t="s">
        <v>4331</v>
      </c>
      <c r="I721" s="142" t="s">
        <v>4343</v>
      </c>
      <c r="J721" s="149" t="s">
        <v>7461</v>
      </c>
      <c r="K721" s="149" t="s">
        <v>7462</v>
      </c>
      <c r="L721" s="149" t="s">
        <v>7463</v>
      </c>
      <c r="M721" s="103" t="s">
        <v>4333</v>
      </c>
      <c r="N721" s="103" t="s">
        <v>4459</v>
      </c>
      <c r="O721" s="105">
        <v>45980</v>
      </c>
      <c r="P721" s="105" t="s">
        <v>4356</v>
      </c>
      <c r="Q721" s="105" t="s">
        <v>4356</v>
      </c>
      <c r="R721" s="105" t="s">
        <v>4356</v>
      </c>
      <c r="S721" s="105" t="s">
        <v>4356</v>
      </c>
      <c r="T721" s="105" t="s">
        <v>4356</v>
      </c>
      <c r="U721" s="105" t="s">
        <v>4356</v>
      </c>
      <c r="V721" s="105" t="s">
        <v>4356</v>
      </c>
      <c r="W721" s="105" t="s">
        <v>4356</v>
      </c>
      <c r="X721" s="105" t="s">
        <v>4356</v>
      </c>
      <c r="Y721" s="105" t="s">
        <v>4356</v>
      </c>
      <c r="Z721" s="105"/>
      <c r="AA721" s="105"/>
      <c r="AB721" s="204" t="s">
        <v>7461</v>
      </c>
      <c r="AC721" s="204" t="s">
        <v>7462</v>
      </c>
      <c r="AD721" s="204" t="s">
        <v>7463</v>
      </c>
      <c r="AE721" s="165" t="s">
        <v>4343</v>
      </c>
      <c r="AF721" s="165" t="s">
        <v>4333</v>
      </c>
      <c r="AG721" s="208">
        <v>42176.160000000003</v>
      </c>
      <c r="AH721" s="208">
        <v>60000</v>
      </c>
      <c r="AI721" s="165" t="s">
        <v>4336</v>
      </c>
      <c r="AJ721" s="104" t="s">
        <v>4438</v>
      </c>
      <c r="AK721" s="103">
        <v>146672914</v>
      </c>
      <c r="AL721" s="103" t="s">
        <v>4338</v>
      </c>
      <c r="AM721" s="103" t="s">
        <v>4338</v>
      </c>
      <c r="AN721" s="103" t="s">
        <v>4339</v>
      </c>
      <c r="AO721" s="112"/>
      <c r="AP721" s="171" t="s">
        <v>7464</v>
      </c>
      <c r="AQ721" s="103" t="s">
        <v>4338</v>
      </c>
      <c r="AR721" s="103" t="s">
        <v>4338</v>
      </c>
      <c r="AS721" s="103" t="s">
        <v>4338</v>
      </c>
      <c r="AT721" s="103" t="s">
        <v>4338</v>
      </c>
      <c r="AU721" s="105">
        <v>46056</v>
      </c>
      <c r="AV721" s="112" t="s">
        <v>4338</v>
      </c>
      <c r="AW721" s="103" t="s">
        <v>4338</v>
      </c>
      <c r="AX721" s="111">
        <v>46065</v>
      </c>
      <c r="AY721" s="157">
        <v>46065</v>
      </c>
      <c r="AZ721" s="157" t="s">
        <v>4453</v>
      </c>
      <c r="BA721" s="174" t="s">
        <v>4454</v>
      </c>
      <c r="BB721" s="136" t="s">
        <v>4338</v>
      </c>
      <c r="BC721" s="220">
        <f t="shared" si="75"/>
        <v>85</v>
      </c>
      <c r="BD721" s="103" t="str">
        <f t="shared" si="76"/>
        <v>INDENIZAÇÃO</v>
      </c>
      <c r="BE721" s="103" t="str">
        <f t="shared" si="77"/>
        <v>NÃO</v>
      </c>
      <c r="BF721" s="140" t="s">
        <v>4357</v>
      </c>
      <c r="BG721" s="140" t="s">
        <v>4357</v>
      </c>
      <c r="BH721" s="140" t="s">
        <v>4357</v>
      </c>
      <c r="BI721" s="154" t="s">
        <v>5393</v>
      </c>
      <c r="BJ721" s="154"/>
      <c r="BK721" s="154"/>
      <c r="BL721" s="154"/>
      <c r="BM721" s="237"/>
      <c r="BN721" s="231"/>
      <c r="BO721" s="232"/>
    </row>
    <row r="722" spans="1:69" ht="30" customHeight="1">
      <c r="A722" s="165">
        <v>713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49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49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2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  <c r="BN722" s="232"/>
      <c r="BO722" s="232"/>
      <c r="BP722" s="232"/>
      <c r="BQ722" s="232"/>
    </row>
    <row r="723" spans="1:69" ht="30" customHeight="1">
      <c r="A723" s="165">
        <v>714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7469</v>
      </c>
      <c r="G723" s="103" t="s">
        <v>4330</v>
      </c>
      <c r="H723" s="103" t="s">
        <v>4331</v>
      </c>
      <c r="I723" s="142" t="s">
        <v>4343</v>
      </c>
      <c r="J723" s="149" t="s">
        <v>7470</v>
      </c>
      <c r="K723" s="149" t="s">
        <v>7471</v>
      </c>
      <c r="L723" s="149" t="s">
        <v>7472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7470</v>
      </c>
      <c r="AC723" s="204" t="s">
        <v>7471</v>
      </c>
      <c r="AD723" s="204" t="s">
        <v>7472</v>
      </c>
      <c r="AE723" s="165" t="s">
        <v>4343</v>
      </c>
      <c r="AF723" s="165" t="s">
        <v>4333</v>
      </c>
      <c r="AG723" s="208">
        <v>33820.92</v>
      </c>
      <c r="AH723" s="208">
        <v>60000</v>
      </c>
      <c r="AI723" s="165" t="s">
        <v>4336</v>
      </c>
      <c r="AJ723" s="104" t="s">
        <v>4438</v>
      </c>
      <c r="AK723" s="103">
        <v>146686404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7473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46021</v>
      </c>
      <c r="AV723" s="112" t="s">
        <v>4338</v>
      </c>
      <c r="AW723" s="103" t="s">
        <v>4338</v>
      </c>
      <c r="AX723" s="264">
        <v>46041</v>
      </c>
      <c r="AY723" s="157">
        <v>46041</v>
      </c>
      <c r="AZ723" s="157" t="s">
        <v>4453</v>
      </c>
      <c r="BA723" s="107" t="s">
        <v>4454</v>
      </c>
      <c r="BB723" s="136" t="s">
        <v>4338</v>
      </c>
      <c r="BC723" s="220">
        <f t="shared" si="75"/>
        <v>61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</row>
    <row r="724" spans="1:69" ht="30" customHeight="1">
      <c r="A724" s="165">
        <v>715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46002</v>
      </c>
      <c r="Q724" s="105" t="s">
        <v>4436</v>
      </c>
      <c r="R724" s="105">
        <v>45999</v>
      </c>
      <c r="S724" s="105">
        <v>46006</v>
      </c>
      <c r="T724" s="105">
        <v>46006</v>
      </c>
      <c r="U724" s="105">
        <v>46009</v>
      </c>
      <c r="V724" s="105" t="s">
        <v>4437</v>
      </c>
      <c r="W724" s="105" t="s">
        <v>4437</v>
      </c>
      <c r="X724" s="105">
        <v>46014</v>
      </c>
      <c r="Y724" s="105">
        <v>46020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/>
      <c r="AT724" s="103"/>
      <c r="AU724" s="105"/>
      <c r="AV724" s="112"/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</row>
    <row r="725" spans="1:69" ht="30" customHeight="1">
      <c r="A725" s="103">
        <v>716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7478</v>
      </c>
      <c r="G725" s="103" t="s">
        <v>4330</v>
      </c>
      <c r="H725" s="103" t="s">
        <v>4331</v>
      </c>
      <c r="I725" s="142" t="s">
        <v>4343</v>
      </c>
      <c r="J725" s="114" t="s">
        <v>7479</v>
      </c>
      <c r="K725" s="149" t="s">
        <v>7480</v>
      </c>
      <c r="L725" s="149" t="s">
        <v>7481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7479</v>
      </c>
      <c r="AC725" s="149" t="s">
        <v>7480</v>
      </c>
      <c r="AD725" s="149" t="s">
        <v>7481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2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5"/>
        <v/>
      </c>
      <c r="BD725" s="103" t="str">
        <f t="shared" si="76"/>
        <v>AA</v>
      </c>
      <c r="BE725" s="103" t="str">
        <f t="shared" si="77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customHeight="1">
      <c r="A726" s="103">
        <v>717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7482</v>
      </c>
      <c r="G726" s="103" t="s">
        <v>4330</v>
      </c>
      <c r="H726" s="103" t="s">
        <v>4331</v>
      </c>
      <c r="I726" s="142" t="s">
        <v>4343</v>
      </c>
      <c r="J726" s="114" t="s">
        <v>7483</v>
      </c>
      <c r="K726" s="149" t="s">
        <v>7484</v>
      </c>
      <c r="L726" s="149" t="s">
        <v>7485</v>
      </c>
      <c r="M726" s="103" t="s">
        <v>4333</v>
      </c>
      <c r="N726" s="103" t="s">
        <v>4345</v>
      </c>
      <c r="O726" s="105"/>
      <c r="P726" s="105">
        <v>46126</v>
      </c>
      <c r="Q726" s="105" t="s">
        <v>4436</v>
      </c>
      <c r="R726" s="108">
        <v>46126</v>
      </c>
      <c r="S726" s="108">
        <v>46126</v>
      </c>
      <c r="T726" s="108">
        <v>46136</v>
      </c>
      <c r="U726" s="108">
        <v>46140</v>
      </c>
      <c r="V726" s="108" t="s">
        <v>4437</v>
      </c>
      <c r="W726" s="108" t="s">
        <v>4437</v>
      </c>
      <c r="X726" s="105">
        <v>46153</v>
      </c>
      <c r="Y726" s="105">
        <v>46154</v>
      </c>
      <c r="Z726" s="105"/>
      <c r="AA726" s="103"/>
      <c r="AB726" s="114" t="s">
        <v>7483</v>
      </c>
      <c r="AC726" s="149" t="s">
        <v>7484</v>
      </c>
      <c r="AD726" s="149" t="s">
        <v>7485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0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</row>
    <row r="727" spans="1:69" ht="30" customHeight="1">
      <c r="A727" s="103">
        <v>718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14" t="s">
        <v>7487</v>
      </c>
      <c r="K727" s="149" t="s">
        <v>7488</v>
      </c>
      <c r="L727" s="149" t="s">
        <v>7489</v>
      </c>
      <c r="M727" s="112" t="s">
        <v>4333</v>
      </c>
      <c r="N727" s="103" t="s">
        <v>4345</v>
      </c>
      <c r="O727" s="105"/>
      <c r="P727" s="105">
        <v>46126</v>
      </c>
      <c r="Q727" s="105" t="s">
        <v>4436</v>
      </c>
      <c r="R727" s="108">
        <v>46126</v>
      </c>
      <c r="S727" s="108">
        <v>46126</v>
      </c>
      <c r="T727" s="108">
        <v>46136</v>
      </c>
      <c r="U727" s="108">
        <v>46140</v>
      </c>
      <c r="V727" s="108" t="s">
        <v>4437</v>
      </c>
      <c r="W727" s="108" t="s">
        <v>4437</v>
      </c>
      <c r="X727" s="105">
        <v>46153</v>
      </c>
      <c r="Y727" s="105">
        <v>46154</v>
      </c>
      <c r="Z727" s="105"/>
      <c r="AA727" s="103"/>
      <c r="AB727" s="114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0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/>
      <c r="AT727" s="103"/>
      <c r="AU727" s="105"/>
      <c r="AV727" s="112"/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65">
        <v>719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14" t="s">
        <v>7491</v>
      </c>
      <c r="K728" s="149" t="s">
        <v>7492</v>
      </c>
      <c r="L728" s="149" t="s">
        <v>7493</v>
      </c>
      <c r="M728" s="112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7491</v>
      </c>
      <c r="AC728" s="149" t="s">
        <v>7492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65">
        <v>720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721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03">
        <v>722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49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>
        <v>45980</v>
      </c>
      <c r="P731" s="105">
        <v>45986</v>
      </c>
      <c r="Q731" s="108" t="s">
        <v>4436</v>
      </c>
      <c r="R731" s="108">
        <v>45985</v>
      </c>
      <c r="S731" s="108">
        <v>45986</v>
      </c>
      <c r="T731" s="108">
        <v>45987</v>
      </c>
      <c r="U731" s="108">
        <v>45992</v>
      </c>
      <c r="V731" s="105" t="s">
        <v>4437</v>
      </c>
      <c r="W731" s="105" t="s">
        <v>4437</v>
      </c>
      <c r="X731" s="105">
        <v>45999</v>
      </c>
      <c r="Y731" s="105">
        <v>46002</v>
      </c>
      <c r="Z731" s="108"/>
      <c r="AA731" s="112"/>
      <c r="AB731" s="149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12"/>
      <c r="AP731" s="171"/>
      <c r="AQ731" s="103"/>
      <c r="AR731" s="103"/>
      <c r="AS731" s="103" t="s">
        <v>4356</v>
      </c>
      <c r="AT731" s="103" t="s">
        <v>4356</v>
      </c>
      <c r="AU731" s="103" t="s">
        <v>4356</v>
      </c>
      <c r="AV731" s="103" t="s">
        <v>4356</v>
      </c>
      <c r="AW731" s="112"/>
      <c r="AX731" s="112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03">
        <v>723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03" t="s">
        <v>4333</v>
      </c>
      <c r="N732" s="103" t="s">
        <v>4345</v>
      </c>
      <c r="O732" s="105">
        <v>45980</v>
      </c>
      <c r="P732" s="105">
        <v>45986</v>
      </c>
      <c r="Q732" s="105" t="s">
        <v>4436</v>
      </c>
      <c r="R732" s="105">
        <v>45985</v>
      </c>
      <c r="S732" s="105">
        <v>45986</v>
      </c>
      <c r="T732" s="105">
        <v>45987</v>
      </c>
      <c r="U732" s="105">
        <v>45992</v>
      </c>
      <c r="V732" s="105" t="s">
        <v>4437</v>
      </c>
      <c r="W732" s="105" t="s">
        <v>4437</v>
      </c>
      <c r="X732" s="105">
        <v>45999</v>
      </c>
      <c r="Y732" s="105">
        <v>46001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 t="s">
        <v>4356</v>
      </c>
      <c r="AT732" s="103" t="s">
        <v>4356</v>
      </c>
      <c r="AU732" s="103" t="s">
        <v>4356</v>
      </c>
      <c r="AV732" s="103" t="s">
        <v>4356</v>
      </c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724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49" t="s">
        <v>7512</v>
      </c>
      <c r="K733" s="149" t="s">
        <v>4457</v>
      </c>
      <c r="L733" s="149" t="s">
        <v>7513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46001</v>
      </c>
      <c r="Z733" s="108"/>
      <c r="AA733" s="112"/>
      <c r="AB733" s="149" t="s">
        <v>7512</v>
      </c>
      <c r="AC733" s="149" t="s">
        <v>4457</v>
      </c>
      <c r="AD733" s="149" t="s">
        <v>7513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65">
        <v>725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7514</v>
      </c>
      <c r="G734" s="103" t="s">
        <v>4330</v>
      </c>
      <c r="H734" s="103" t="s">
        <v>4331</v>
      </c>
      <c r="I734" s="142" t="s">
        <v>4343</v>
      </c>
      <c r="J734" s="149" t="s">
        <v>7515</v>
      </c>
      <c r="K734" s="149" t="s">
        <v>7516</v>
      </c>
      <c r="L734" s="149" t="s">
        <v>7517</v>
      </c>
      <c r="M734" s="103" t="s">
        <v>4333</v>
      </c>
      <c r="N734" s="103" t="s">
        <v>4345</v>
      </c>
      <c r="O734" s="105">
        <v>45996</v>
      </c>
      <c r="P734" s="105">
        <v>46002</v>
      </c>
      <c r="Q734" s="105" t="s">
        <v>4436</v>
      </c>
      <c r="R734" s="105">
        <v>45999</v>
      </c>
      <c r="S734" s="105">
        <v>46006</v>
      </c>
      <c r="T734" s="105">
        <v>46006</v>
      </c>
      <c r="U734" s="105">
        <v>46009</v>
      </c>
      <c r="V734" s="105" t="s">
        <v>4437</v>
      </c>
      <c r="W734" s="105" t="s">
        <v>4437</v>
      </c>
      <c r="X734" s="105">
        <v>46014</v>
      </c>
      <c r="Y734" s="105">
        <v>46020</v>
      </c>
      <c r="Z734" s="108"/>
      <c r="AA734" s="112"/>
      <c r="AB734" s="149" t="s">
        <v>7515</v>
      </c>
      <c r="AC734" s="149" t="s">
        <v>7516</v>
      </c>
      <c r="AD734" s="149" t="s">
        <v>7517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165" t="s">
        <v>4355</v>
      </c>
      <c r="AJ734" s="104" t="s">
        <v>4438</v>
      </c>
      <c r="AK734" s="103"/>
      <c r="AL734" s="103"/>
      <c r="AM734" s="103"/>
      <c r="AN734" s="103"/>
      <c r="AO734" s="112"/>
      <c r="AP734" s="171"/>
      <c r="AQ734" s="112"/>
      <c r="AR734" s="112"/>
      <c r="AS734" s="112"/>
      <c r="AT734" s="112"/>
      <c r="AU734" s="112"/>
      <c r="AV734" s="112"/>
      <c r="AW734" s="112"/>
      <c r="AX734" s="112"/>
      <c r="AY734" s="166"/>
      <c r="AZ734" s="105"/>
      <c r="BA734" s="103"/>
      <c r="BB734" s="136"/>
      <c r="BC734" s="220" t="str">
        <f t="shared" ref="BC734:BC797" si="78">IF(AY734-KD734=0,"",AY734-O734)</f>
        <v/>
      </c>
      <c r="BD734" s="103" t="str">
        <f t="shared" ref="BD734:BD797" si="79">IF(AND(AI734&lt;&gt;"SIM",AI734="UH"),"AA","INDENIZAÇÃO")</f>
        <v>AA</v>
      </c>
      <c r="BE734" s="103" t="str">
        <f t="shared" ref="BE734:BE797" si="80"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65">
        <v>726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7518</v>
      </c>
      <c r="G735" s="103" t="s">
        <v>4330</v>
      </c>
      <c r="H735" s="103" t="s">
        <v>4331</v>
      </c>
      <c r="I735" s="142" t="s">
        <v>4343</v>
      </c>
      <c r="J735" s="149" t="s">
        <v>7519</v>
      </c>
      <c r="K735" s="149" t="s">
        <v>7520</v>
      </c>
      <c r="L735" s="149" t="s">
        <v>7521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46002</v>
      </c>
      <c r="Z735" s="105"/>
      <c r="AA735" s="103"/>
      <c r="AB735" s="149" t="s">
        <v>7519</v>
      </c>
      <c r="AC735" s="149" t="s">
        <v>7520</v>
      </c>
      <c r="AD735" s="149" t="s">
        <v>7521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2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03"/>
      <c r="AX735" s="105"/>
      <c r="AY735" s="166"/>
      <c r="AZ735" s="105"/>
      <c r="BA735" s="103"/>
      <c r="BB735" s="136"/>
      <c r="BC735" s="220" t="str">
        <f t="shared" si="78"/>
        <v/>
      </c>
      <c r="BD735" s="103" t="str">
        <f t="shared" si="79"/>
        <v>AA</v>
      </c>
      <c r="BE735" s="103" t="str">
        <f t="shared" si="8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727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7522</v>
      </c>
      <c r="G736" s="103" t="s">
        <v>4330</v>
      </c>
      <c r="H736" s="103" t="s">
        <v>4331</v>
      </c>
      <c r="I736" s="142" t="s">
        <v>4343</v>
      </c>
      <c r="J736" s="114" t="s">
        <v>7523</v>
      </c>
      <c r="K736" s="149" t="s">
        <v>7524</v>
      </c>
      <c r="L736" s="149" t="s">
        <v>7525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5"/>
      <c r="AA736" s="103"/>
      <c r="AB736" s="114" t="s">
        <v>7523</v>
      </c>
      <c r="AC736" s="149" t="s">
        <v>7524</v>
      </c>
      <c r="AD736" s="149" t="s">
        <v>7525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03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03"/>
      <c r="AX736" s="105"/>
      <c r="AY736" s="166"/>
      <c r="AZ736" s="105"/>
      <c r="BA736" s="103"/>
      <c r="BB736" s="136"/>
      <c r="BC736" s="220" t="str">
        <f t="shared" si="78"/>
        <v/>
      </c>
      <c r="BD736" s="103" t="str">
        <f t="shared" si="79"/>
        <v>AA</v>
      </c>
      <c r="BE736" s="103" t="str">
        <f t="shared" si="8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03">
        <v>728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7526</v>
      </c>
      <c r="G737" s="103" t="s">
        <v>4330</v>
      </c>
      <c r="H737" s="103" t="s">
        <v>4331</v>
      </c>
      <c r="I737" s="142" t="s">
        <v>4343</v>
      </c>
      <c r="J737" s="149" t="s">
        <v>7527</v>
      </c>
      <c r="K737" s="149" t="s">
        <v>7528</v>
      </c>
      <c r="L737" s="149" t="s">
        <v>7529</v>
      </c>
      <c r="M737" s="103" t="s">
        <v>4333</v>
      </c>
      <c r="N737" s="103" t="s">
        <v>4345</v>
      </c>
      <c r="O737" s="105">
        <v>45980</v>
      </c>
      <c r="P737" s="105">
        <v>46002</v>
      </c>
      <c r="Q737" s="105" t="s">
        <v>4436</v>
      </c>
      <c r="R737" s="105">
        <v>45999</v>
      </c>
      <c r="S737" s="105">
        <v>46006</v>
      </c>
      <c r="T737" s="105">
        <v>46006</v>
      </c>
      <c r="U737" s="105">
        <v>46009</v>
      </c>
      <c r="V737" s="105" t="s">
        <v>4437</v>
      </c>
      <c r="W737" s="105" t="s">
        <v>4437</v>
      </c>
      <c r="X737" s="105">
        <v>46014</v>
      </c>
      <c r="Y737" s="105">
        <v>46020</v>
      </c>
      <c r="Z737" s="108"/>
      <c r="AA737" s="112"/>
      <c r="AB737" s="149" t="s">
        <v>7527</v>
      </c>
      <c r="AC737" s="149" t="s">
        <v>7528</v>
      </c>
      <c r="AD737" s="149" t="s">
        <v>7529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165" t="s">
        <v>4355</v>
      </c>
      <c r="AJ737" s="104" t="s">
        <v>4438</v>
      </c>
      <c r="AK737" s="103"/>
      <c r="AL737" s="103"/>
      <c r="AM737" s="103"/>
      <c r="AN737" s="103"/>
      <c r="AO737" s="112"/>
      <c r="AP737" s="171"/>
      <c r="AQ737" s="112"/>
      <c r="AR737" s="112"/>
      <c r="AS737" s="112"/>
      <c r="AT737" s="112"/>
      <c r="AU737" s="112"/>
      <c r="AV737" s="112"/>
      <c r="AW737" s="112"/>
      <c r="AX737" s="112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03">
        <v>729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7530</v>
      </c>
      <c r="G738" s="103" t="s">
        <v>4330</v>
      </c>
      <c r="H738" s="103" t="s">
        <v>4331</v>
      </c>
      <c r="I738" s="142" t="s">
        <v>4343</v>
      </c>
      <c r="J738" s="149" t="s">
        <v>7531</v>
      </c>
      <c r="K738" s="149" t="s">
        <v>7532</v>
      </c>
      <c r="L738" s="149" t="s">
        <v>7533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5"/>
      <c r="AA738" s="103"/>
      <c r="AB738" s="149" t="s">
        <v>7531</v>
      </c>
      <c r="AC738" s="149" t="s">
        <v>7532</v>
      </c>
      <c r="AD738" s="149" t="s">
        <v>7533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2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730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7534</v>
      </c>
      <c r="G739" s="103" t="s">
        <v>4330</v>
      </c>
      <c r="H739" s="103" t="s">
        <v>4331</v>
      </c>
      <c r="I739" s="142" t="s">
        <v>4343</v>
      </c>
      <c r="J739" s="149" t="s">
        <v>7535</v>
      </c>
      <c r="K739" s="149" t="s">
        <v>7536</v>
      </c>
      <c r="L739" s="149" t="s">
        <v>7537</v>
      </c>
      <c r="M739" s="103" t="s">
        <v>4333</v>
      </c>
      <c r="N739" s="103" t="s">
        <v>4345</v>
      </c>
      <c r="O739" s="105">
        <v>45980</v>
      </c>
      <c r="P739" s="105">
        <v>45986</v>
      </c>
      <c r="Q739" s="108" t="s">
        <v>4436</v>
      </c>
      <c r="R739" s="108">
        <v>45985</v>
      </c>
      <c r="S739" s="108">
        <v>45986</v>
      </c>
      <c r="T739" s="108">
        <v>45987</v>
      </c>
      <c r="U739" s="108">
        <v>45992</v>
      </c>
      <c r="V739" s="108" t="s">
        <v>4437</v>
      </c>
      <c r="W739" s="108" t="s">
        <v>4437</v>
      </c>
      <c r="X739" s="105">
        <v>45999</v>
      </c>
      <c r="Y739" s="105">
        <v>46001</v>
      </c>
      <c r="Z739" s="108"/>
      <c r="AA739" s="112"/>
      <c r="AB739" s="149" t="s">
        <v>7535</v>
      </c>
      <c r="AC739" s="149" t="s">
        <v>7536</v>
      </c>
      <c r="AD739" s="149" t="s">
        <v>7537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210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03"/>
      <c r="AR739" s="103"/>
      <c r="AS739" s="103" t="s">
        <v>4356</v>
      </c>
      <c r="AT739" s="103" t="s">
        <v>4356</v>
      </c>
      <c r="AU739" s="103" t="s">
        <v>4356</v>
      </c>
      <c r="AV739" s="103" t="s">
        <v>4356</v>
      </c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65">
        <v>731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7538</v>
      </c>
      <c r="G740" s="103" t="s">
        <v>4330</v>
      </c>
      <c r="H740" s="103" t="s">
        <v>4331</v>
      </c>
      <c r="I740" s="142" t="s">
        <v>4343</v>
      </c>
      <c r="J740" s="149" t="s">
        <v>7539</v>
      </c>
      <c r="K740" s="149" t="s">
        <v>7540</v>
      </c>
      <c r="L740" s="149" t="s">
        <v>7541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7539</v>
      </c>
      <c r="AC740" s="149" t="s">
        <v>7540</v>
      </c>
      <c r="AD740" s="149" t="s">
        <v>7541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0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65">
        <v>732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7542</v>
      </c>
      <c r="G741" s="103" t="s">
        <v>4330</v>
      </c>
      <c r="H741" s="103" t="s">
        <v>4331</v>
      </c>
      <c r="I741" s="142" t="s">
        <v>4343</v>
      </c>
      <c r="J741" s="114" t="s">
        <v>7543</v>
      </c>
      <c r="K741" s="149" t="s">
        <v>7544</v>
      </c>
      <c r="L741" s="149" t="s">
        <v>7545</v>
      </c>
      <c r="M741" s="103" t="s">
        <v>4333</v>
      </c>
      <c r="N741" s="103" t="s">
        <v>4345</v>
      </c>
      <c r="O741" s="105"/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46006</v>
      </c>
      <c r="Z741" s="105"/>
      <c r="AA741" s="103"/>
      <c r="AB741" s="114" t="s">
        <v>7543</v>
      </c>
      <c r="AC741" s="149" t="s">
        <v>7544</v>
      </c>
      <c r="AD741" s="149" t="s">
        <v>7545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733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7546</v>
      </c>
      <c r="G742" s="103" t="s">
        <v>4330</v>
      </c>
      <c r="H742" s="103" t="s">
        <v>4331</v>
      </c>
      <c r="I742" s="142" t="s">
        <v>4343</v>
      </c>
      <c r="J742" s="149" t="s">
        <v>7547</v>
      </c>
      <c r="K742" s="149" t="s">
        <v>7548</v>
      </c>
      <c r="L742" s="149" t="s">
        <v>7549</v>
      </c>
      <c r="M742" s="103" t="s">
        <v>4333</v>
      </c>
      <c r="N742" s="103" t="s">
        <v>4345</v>
      </c>
      <c r="O742" s="105">
        <v>45996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7547</v>
      </c>
      <c r="AC742" s="149" t="s">
        <v>7548</v>
      </c>
      <c r="AD742" s="149" t="s">
        <v>7549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03">
        <v>734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7550</v>
      </c>
      <c r="G743" s="103" t="s">
        <v>4330</v>
      </c>
      <c r="H743" s="103" t="s">
        <v>4331</v>
      </c>
      <c r="I743" s="142" t="s">
        <v>4343</v>
      </c>
      <c r="J743" s="149" t="s">
        <v>7551</v>
      </c>
      <c r="K743" s="149" t="s">
        <v>7552</v>
      </c>
      <c r="L743" s="149" t="s">
        <v>7553</v>
      </c>
      <c r="M743" s="103" t="s">
        <v>4333</v>
      </c>
      <c r="N743" s="103" t="s">
        <v>4345</v>
      </c>
      <c r="O743" s="105">
        <v>45996</v>
      </c>
      <c r="P743" s="105">
        <v>46002</v>
      </c>
      <c r="Q743" s="105" t="s">
        <v>4436</v>
      </c>
      <c r="R743" s="105">
        <v>45999</v>
      </c>
      <c r="S743" s="105">
        <v>46006</v>
      </c>
      <c r="T743" s="105">
        <v>46006</v>
      </c>
      <c r="U743" s="105">
        <v>46009</v>
      </c>
      <c r="V743" s="105" t="s">
        <v>4437</v>
      </c>
      <c r="W743" s="105" t="s">
        <v>4437</v>
      </c>
      <c r="X743" s="105">
        <v>46014</v>
      </c>
      <c r="Y743" s="105">
        <v>46020</v>
      </c>
      <c r="Z743" s="105"/>
      <c r="AA743" s="103"/>
      <c r="AB743" s="149" t="s">
        <v>7551</v>
      </c>
      <c r="AC743" s="149" t="s">
        <v>7552</v>
      </c>
      <c r="AD743" s="149" t="s">
        <v>7553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165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/>
      <c r="AT743" s="103"/>
      <c r="AU743" s="105"/>
      <c r="AV743" s="112"/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03">
        <v>735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7554</v>
      </c>
      <c r="G744" s="103" t="s">
        <v>4330</v>
      </c>
      <c r="H744" s="103" t="s">
        <v>4331</v>
      </c>
      <c r="I744" s="142" t="s">
        <v>4343</v>
      </c>
      <c r="J744" s="149" t="s">
        <v>7555</v>
      </c>
      <c r="K744" s="149" t="s">
        <v>7556</v>
      </c>
      <c r="L744" s="149" t="s">
        <v>7557</v>
      </c>
      <c r="M744" s="103" t="s">
        <v>4333</v>
      </c>
      <c r="N744" s="103" t="s">
        <v>4345</v>
      </c>
      <c r="O744" s="105">
        <v>45996</v>
      </c>
      <c r="P744" s="105">
        <v>46002</v>
      </c>
      <c r="Q744" s="105" t="s">
        <v>4436</v>
      </c>
      <c r="R744" s="105">
        <v>45999</v>
      </c>
      <c r="S744" s="105">
        <v>46006</v>
      </c>
      <c r="T744" s="105">
        <v>46006</v>
      </c>
      <c r="U744" s="105">
        <v>46009</v>
      </c>
      <c r="V744" s="105" t="s">
        <v>4437</v>
      </c>
      <c r="W744" s="105" t="s">
        <v>4437</v>
      </c>
      <c r="X744" s="105">
        <v>46014</v>
      </c>
      <c r="Y744" s="206" t="s">
        <v>4457</v>
      </c>
      <c r="Z744" s="105"/>
      <c r="AA744" s="142" t="s">
        <v>7558</v>
      </c>
      <c r="AB744" s="149" t="s">
        <v>7555</v>
      </c>
      <c r="AC744" s="149" t="s">
        <v>7556</v>
      </c>
      <c r="AD744" s="149" t="s">
        <v>7557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103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/>
      <c r="AT744" s="103"/>
      <c r="AU744" s="105"/>
      <c r="AV744" s="112"/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736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03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65">
        <v>737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5" t="s">
        <v>4437</v>
      </c>
      <c r="W746" s="105" t="s">
        <v>4437</v>
      </c>
      <c r="X746" s="105">
        <v>45999</v>
      </c>
      <c r="Y746" s="105">
        <v>46001</v>
      </c>
      <c r="Z746" s="105"/>
      <c r="AA746" s="103"/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2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65">
        <v>738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14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/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8" t="s">
        <v>4437</v>
      </c>
      <c r="W747" s="108" t="s">
        <v>4437</v>
      </c>
      <c r="X747" s="105">
        <v>45999</v>
      </c>
      <c r="Y747" s="105">
        <v>46001</v>
      </c>
      <c r="Z747" s="105"/>
      <c r="AA747" s="103"/>
      <c r="AB747" s="114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739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14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46006</v>
      </c>
      <c r="Z748" s="105"/>
      <c r="AA748" s="103"/>
      <c r="AB748" s="114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0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03">
        <v>740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6993</v>
      </c>
      <c r="J749" s="149" t="s">
        <v>7576</v>
      </c>
      <c r="K749" s="149" t="s">
        <v>4457</v>
      </c>
      <c r="L749" s="149" t="s">
        <v>7577</v>
      </c>
      <c r="M749" s="103" t="s">
        <v>4333</v>
      </c>
      <c r="N749" s="103" t="s">
        <v>4345</v>
      </c>
      <c r="O749" s="105">
        <v>45996</v>
      </c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5" t="s">
        <v>4437</v>
      </c>
      <c r="W749" s="105" t="s">
        <v>4437</v>
      </c>
      <c r="X749" s="105">
        <v>45999</v>
      </c>
      <c r="Y749" s="105">
        <v>46001</v>
      </c>
      <c r="Z749" s="105"/>
      <c r="AA749" s="105"/>
      <c r="AB749" s="149" t="s">
        <v>7576</v>
      </c>
      <c r="AC749" s="149" t="s">
        <v>4457</v>
      </c>
      <c r="AD749" s="149" t="s">
        <v>7577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03">
        <v>741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7578</v>
      </c>
      <c r="G750" s="103" t="s">
        <v>4330</v>
      </c>
      <c r="H750" s="103" t="s">
        <v>4331</v>
      </c>
      <c r="I750" s="142" t="s">
        <v>4343</v>
      </c>
      <c r="J750" s="149" t="s">
        <v>7579</v>
      </c>
      <c r="K750" s="149" t="s">
        <v>7580</v>
      </c>
      <c r="L750" s="149" t="s">
        <v>7581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46001</v>
      </c>
      <c r="Z750" s="105"/>
      <c r="AA750" s="105"/>
      <c r="AB750" s="149" t="s">
        <v>7579</v>
      </c>
      <c r="AC750" s="149" t="s">
        <v>7580</v>
      </c>
      <c r="AD750" s="149" t="s">
        <v>7581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742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7582</v>
      </c>
      <c r="G751" s="103" t="s">
        <v>4330</v>
      </c>
      <c r="H751" s="103" t="s">
        <v>4331</v>
      </c>
      <c r="I751" s="142" t="s">
        <v>4343</v>
      </c>
      <c r="J751" s="149" t="s">
        <v>7583</v>
      </c>
      <c r="K751" s="149" t="s">
        <v>7584</v>
      </c>
      <c r="L751" s="149" t="s">
        <v>7585</v>
      </c>
      <c r="M751" s="103" t="s">
        <v>4333</v>
      </c>
      <c r="N751" s="103" t="s">
        <v>4345</v>
      </c>
      <c r="O751" s="105">
        <v>45996</v>
      </c>
      <c r="P751" s="105">
        <v>46002</v>
      </c>
      <c r="Q751" s="105" t="s">
        <v>4436</v>
      </c>
      <c r="R751" s="105">
        <v>45999</v>
      </c>
      <c r="S751" s="105">
        <v>46006</v>
      </c>
      <c r="T751" s="105">
        <v>46006</v>
      </c>
      <c r="U751" s="105">
        <v>46009</v>
      </c>
      <c r="V751" s="105" t="s">
        <v>4437</v>
      </c>
      <c r="W751" s="105" t="s">
        <v>4437</v>
      </c>
      <c r="X751" s="105">
        <v>46014</v>
      </c>
      <c r="Y751" s="105">
        <v>46020</v>
      </c>
      <c r="Z751" s="105"/>
      <c r="AA751" s="105"/>
      <c r="AB751" s="149" t="s">
        <v>7583</v>
      </c>
      <c r="AC751" s="149" t="s">
        <v>7584</v>
      </c>
      <c r="AD751" s="149" t="s">
        <v>7585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165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/>
      <c r="AT751" s="103"/>
      <c r="AU751" s="105"/>
      <c r="AV751" s="112"/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65">
        <v>743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7586</v>
      </c>
      <c r="G752" s="103" t="s">
        <v>4330</v>
      </c>
      <c r="H752" s="103" t="s">
        <v>4331</v>
      </c>
      <c r="I752" s="142" t="s">
        <v>4343</v>
      </c>
      <c r="J752" s="149" t="s">
        <v>7587</v>
      </c>
      <c r="K752" s="149" t="s">
        <v>7588</v>
      </c>
      <c r="L752" s="149" t="s">
        <v>7589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46017</v>
      </c>
      <c r="Z752" s="105"/>
      <c r="AA752" s="105"/>
      <c r="AB752" s="149" t="s">
        <v>7587</v>
      </c>
      <c r="AC752" s="149" t="s">
        <v>7588</v>
      </c>
      <c r="AD752" s="149" t="s">
        <v>7589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2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65">
        <v>744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7590</v>
      </c>
      <c r="G753" s="103" t="s">
        <v>4330</v>
      </c>
      <c r="H753" s="103" t="s">
        <v>4331</v>
      </c>
      <c r="I753" s="142" t="s">
        <v>4343</v>
      </c>
      <c r="J753" s="149" t="s">
        <v>7591</v>
      </c>
      <c r="K753" s="149" t="s">
        <v>7592</v>
      </c>
      <c r="L753" s="149" t="s">
        <v>7593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46001</v>
      </c>
      <c r="Z753" s="105"/>
      <c r="AA753" s="105"/>
      <c r="AB753" s="149" t="s">
        <v>7591</v>
      </c>
      <c r="AC753" s="149" t="s">
        <v>7592</v>
      </c>
      <c r="AD753" s="149" t="s">
        <v>7593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745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7594</v>
      </c>
      <c r="G754" s="103" t="s">
        <v>4330</v>
      </c>
      <c r="H754" s="103" t="s">
        <v>4331</v>
      </c>
      <c r="I754" s="142" t="s">
        <v>4343</v>
      </c>
      <c r="J754" s="149" t="s">
        <v>7595</v>
      </c>
      <c r="K754" s="149" t="s">
        <v>7596</v>
      </c>
      <c r="L754" s="149" t="s">
        <v>7597</v>
      </c>
      <c r="M754" s="103" t="s">
        <v>4333</v>
      </c>
      <c r="N754" s="103" t="s">
        <v>4345</v>
      </c>
      <c r="O754" s="105"/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8" t="s">
        <v>4437</v>
      </c>
      <c r="W754" s="108" t="s">
        <v>4437</v>
      </c>
      <c r="X754" s="105">
        <v>45999</v>
      </c>
      <c r="Y754" s="105">
        <v>46001</v>
      </c>
      <c r="Z754" s="105"/>
      <c r="AA754" s="105"/>
      <c r="AB754" s="149" t="s">
        <v>7595</v>
      </c>
      <c r="AC754" s="149" t="s">
        <v>7596</v>
      </c>
      <c r="AD754" s="149" t="s">
        <v>7597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03">
        <v>746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7598</v>
      </c>
      <c r="G755" s="103" t="s">
        <v>4330</v>
      </c>
      <c r="H755" s="103" t="s">
        <v>4331</v>
      </c>
      <c r="I755" s="142" t="s">
        <v>4343</v>
      </c>
      <c r="J755" s="149" t="s">
        <v>7599</v>
      </c>
      <c r="K755" s="149" t="s">
        <v>7600</v>
      </c>
      <c r="L755" s="149" t="s">
        <v>7601</v>
      </c>
      <c r="M755" s="103" t="s">
        <v>4333</v>
      </c>
      <c r="N755" s="103" t="s">
        <v>4345</v>
      </c>
      <c r="O755" s="105"/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8" t="s">
        <v>4437</v>
      </c>
      <c r="W755" s="108" t="s">
        <v>4437</v>
      </c>
      <c r="X755" s="105">
        <v>45999</v>
      </c>
      <c r="Y755" s="105">
        <v>46001</v>
      </c>
      <c r="Z755" s="105"/>
      <c r="AA755" s="105"/>
      <c r="AB755" s="149" t="s">
        <v>7599</v>
      </c>
      <c r="AC755" s="149" t="s">
        <v>7600</v>
      </c>
      <c r="AD755" s="149" t="s">
        <v>7601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12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12"/>
      <c r="AX755" s="112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03">
        <v>747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7602</v>
      </c>
      <c r="G756" s="103" t="s">
        <v>4330</v>
      </c>
      <c r="H756" s="103" t="s">
        <v>4331</v>
      </c>
      <c r="I756" s="142" t="s">
        <v>4343</v>
      </c>
      <c r="J756" s="149" t="s">
        <v>7603</v>
      </c>
      <c r="K756" s="149" t="s">
        <v>7604</v>
      </c>
      <c r="L756" s="149" t="s">
        <v>7605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7603</v>
      </c>
      <c r="AC756" s="149" t="s">
        <v>7604</v>
      </c>
      <c r="AD756" s="149" t="s">
        <v>7605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12"/>
      <c r="AP756" s="171"/>
      <c r="AQ756" s="112"/>
      <c r="AR756" s="112"/>
      <c r="AS756" s="112"/>
      <c r="AT756" s="112"/>
      <c r="AU756" s="112"/>
      <c r="AV756" s="112"/>
      <c r="AW756" s="112"/>
      <c r="AX756" s="112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748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7606</v>
      </c>
      <c r="G757" s="103" t="s">
        <v>4330</v>
      </c>
      <c r="H757" s="103" t="s">
        <v>4331</v>
      </c>
      <c r="I757" s="142" t="s">
        <v>4343</v>
      </c>
      <c r="J757" s="149" t="s">
        <v>7607</v>
      </c>
      <c r="K757" s="149" t="s">
        <v>7608</v>
      </c>
      <c r="L757" s="149" t="s">
        <v>7609</v>
      </c>
      <c r="M757" s="103" t="s">
        <v>4333</v>
      </c>
      <c r="N757" s="103" t="s">
        <v>4345</v>
      </c>
      <c r="O757" s="105">
        <v>45996</v>
      </c>
      <c r="P757" s="105">
        <v>46002</v>
      </c>
      <c r="Q757" s="105" t="s">
        <v>4436</v>
      </c>
      <c r="R757" s="105">
        <v>45999</v>
      </c>
      <c r="S757" s="105">
        <v>46006</v>
      </c>
      <c r="T757" s="105">
        <v>46006</v>
      </c>
      <c r="U757" s="105">
        <v>46009</v>
      </c>
      <c r="V757" s="105" t="s">
        <v>4437</v>
      </c>
      <c r="W757" s="105" t="s">
        <v>4437</v>
      </c>
      <c r="X757" s="105">
        <v>46014</v>
      </c>
      <c r="Y757" s="105">
        <v>46020</v>
      </c>
      <c r="Z757" s="105"/>
      <c r="AA757" s="105"/>
      <c r="AB757" s="149" t="s">
        <v>7607</v>
      </c>
      <c r="AC757" s="149" t="s">
        <v>7608</v>
      </c>
      <c r="AD757" s="149" t="s">
        <v>7609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103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12"/>
      <c r="AR757" s="112"/>
      <c r="AS757" s="112"/>
      <c r="AT757" s="112"/>
      <c r="AU757" s="112"/>
      <c r="AV757" s="112"/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65">
        <v>749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7610</v>
      </c>
      <c r="G758" s="103" t="s">
        <v>4330</v>
      </c>
      <c r="H758" s="103" t="s">
        <v>4331</v>
      </c>
      <c r="I758" s="142" t="s">
        <v>4343</v>
      </c>
      <c r="J758" s="149" t="s">
        <v>7611</v>
      </c>
      <c r="K758" s="149" t="s">
        <v>7612</v>
      </c>
      <c r="L758" s="149" t="s">
        <v>7613</v>
      </c>
      <c r="M758" s="103" t="s">
        <v>4333</v>
      </c>
      <c r="N758" s="103" t="s">
        <v>4345</v>
      </c>
      <c r="O758" s="105"/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8" t="s">
        <v>4437</v>
      </c>
      <c r="W758" s="108" t="s">
        <v>4437</v>
      </c>
      <c r="X758" s="105">
        <v>45999</v>
      </c>
      <c r="Y758" s="105">
        <v>46058</v>
      </c>
      <c r="Z758" s="105"/>
      <c r="AA758" s="105"/>
      <c r="AB758" s="149" t="s">
        <v>7611</v>
      </c>
      <c r="AC758" s="149" t="s">
        <v>7612</v>
      </c>
      <c r="AD758" s="149" t="s">
        <v>7613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2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65">
        <v>750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7614</v>
      </c>
      <c r="G759" s="103" t="s">
        <v>4330</v>
      </c>
      <c r="H759" s="103" t="s">
        <v>4331</v>
      </c>
      <c r="I759" s="142" t="s">
        <v>4343</v>
      </c>
      <c r="J759" s="149" t="s">
        <v>7615</v>
      </c>
      <c r="K759" s="149" t="s">
        <v>7616</v>
      </c>
      <c r="L759" s="149" t="s">
        <v>7617</v>
      </c>
      <c r="M759" s="103" t="s">
        <v>4333</v>
      </c>
      <c r="N759" s="103" t="s">
        <v>4345</v>
      </c>
      <c r="O759" s="105">
        <v>45996</v>
      </c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5" t="s">
        <v>4437</v>
      </c>
      <c r="W759" s="105" t="s">
        <v>4437</v>
      </c>
      <c r="X759" s="105">
        <v>45999</v>
      </c>
      <c r="Y759" s="105">
        <v>46001</v>
      </c>
      <c r="Z759" s="105"/>
      <c r="AA759" s="105"/>
      <c r="AB759" s="149" t="s">
        <v>7615</v>
      </c>
      <c r="AC759" s="149" t="s">
        <v>7616</v>
      </c>
      <c r="AD759" s="149" t="s">
        <v>7617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751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7618</v>
      </c>
      <c r="G760" s="103" t="s">
        <v>4330</v>
      </c>
      <c r="H760" s="103" t="s">
        <v>4331</v>
      </c>
      <c r="I760" s="142" t="s">
        <v>4343</v>
      </c>
      <c r="J760" s="114" t="s">
        <v>7619</v>
      </c>
      <c r="K760" s="149" t="s">
        <v>7620</v>
      </c>
      <c r="L760" s="149" t="s">
        <v>7621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14" t="s">
        <v>7619</v>
      </c>
      <c r="AC760" s="149" t="s">
        <v>7620</v>
      </c>
      <c r="AD760" s="149" t="s">
        <v>7621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03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03"/>
      <c r="AX760" s="105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03">
        <v>752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7622</v>
      </c>
      <c r="G761" s="103" t="s">
        <v>4330</v>
      </c>
      <c r="H761" s="103" t="s">
        <v>4331</v>
      </c>
      <c r="I761" s="142" t="s">
        <v>4343</v>
      </c>
      <c r="J761" s="149" t="s">
        <v>7623</v>
      </c>
      <c r="K761" s="149" t="s">
        <v>7624</v>
      </c>
      <c r="L761" s="149" t="s">
        <v>7625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7623</v>
      </c>
      <c r="AC761" s="149" t="s">
        <v>7624</v>
      </c>
      <c r="AD761" s="149" t="s">
        <v>7625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03">
        <v>753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7626</v>
      </c>
      <c r="G762" s="103" t="s">
        <v>4330</v>
      </c>
      <c r="H762" s="103" t="s">
        <v>4331</v>
      </c>
      <c r="I762" s="142" t="s">
        <v>4343</v>
      </c>
      <c r="J762" s="149" t="s">
        <v>7627</v>
      </c>
      <c r="K762" s="149" t="s">
        <v>7628</v>
      </c>
      <c r="L762" s="149" t="s">
        <v>7629</v>
      </c>
      <c r="M762" s="103" t="s">
        <v>4333</v>
      </c>
      <c r="N762" s="103" t="s">
        <v>4345</v>
      </c>
      <c r="O762" s="105">
        <v>45996</v>
      </c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5" t="s">
        <v>4437</v>
      </c>
      <c r="W762" s="105" t="s">
        <v>4437</v>
      </c>
      <c r="X762" s="105">
        <v>45999</v>
      </c>
      <c r="Y762" s="105">
        <v>46001</v>
      </c>
      <c r="Z762" s="105"/>
      <c r="AA762" s="105"/>
      <c r="AB762" s="149" t="s">
        <v>7627</v>
      </c>
      <c r="AC762" s="149" t="s">
        <v>7628</v>
      </c>
      <c r="AD762" s="149" t="s">
        <v>7629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754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7630</v>
      </c>
      <c r="G763" s="103" t="s">
        <v>4330</v>
      </c>
      <c r="H763" s="103" t="s">
        <v>4331</v>
      </c>
      <c r="I763" s="142" t="s">
        <v>4343</v>
      </c>
      <c r="J763" s="149" t="s">
        <v>7631</v>
      </c>
      <c r="K763" s="149" t="s">
        <v>7632</v>
      </c>
      <c r="L763" s="149" t="s">
        <v>7633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46002</v>
      </c>
      <c r="Z763" s="105"/>
      <c r="AA763" s="105"/>
      <c r="AB763" s="149" t="s">
        <v>7631</v>
      </c>
      <c r="AC763" s="149" t="s">
        <v>7632</v>
      </c>
      <c r="AD763" s="149" t="s">
        <v>7633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03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03"/>
      <c r="AX763" s="105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65">
        <v>755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96" t="s">
        <v>7634</v>
      </c>
      <c r="G764" s="103" t="s">
        <v>4330</v>
      </c>
      <c r="H764" s="103" t="s">
        <v>4331</v>
      </c>
      <c r="I764" s="142" t="s">
        <v>4343</v>
      </c>
      <c r="J764" s="149" t="s">
        <v>7635</v>
      </c>
      <c r="K764" s="149" t="s">
        <v>4457</v>
      </c>
      <c r="L764" s="149" t="s">
        <v>7636</v>
      </c>
      <c r="M764" s="103" t="s">
        <v>4333</v>
      </c>
      <c r="N764" s="103" t="s">
        <v>4459</v>
      </c>
      <c r="O764" s="105">
        <v>45996</v>
      </c>
      <c r="P764" s="105" t="s">
        <v>4356</v>
      </c>
      <c r="Q764" s="105" t="s">
        <v>4356</v>
      </c>
      <c r="R764" s="105" t="s">
        <v>4356</v>
      </c>
      <c r="S764" s="105" t="s">
        <v>4356</v>
      </c>
      <c r="T764" s="105" t="s">
        <v>4356</v>
      </c>
      <c r="U764" s="105" t="s">
        <v>4356</v>
      </c>
      <c r="V764" s="105" t="s">
        <v>4356</v>
      </c>
      <c r="W764" s="105" t="s">
        <v>4356</v>
      </c>
      <c r="X764" s="105" t="s">
        <v>4356</v>
      </c>
      <c r="Y764" s="105" t="s">
        <v>4356</v>
      </c>
      <c r="Z764" s="105" t="s">
        <v>4356</v>
      </c>
      <c r="AA764" s="105"/>
      <c r="AB764" s="204" t="s">
        <v>7635</v>
      </c>
      <c r="AC764" s="204" t="s">
        <v>4432</v>
      </c>
      <c r="AD764" s="204" t="s">
        <v>7636</v>
      </c>
      <c r="AE764" s="165" t="s">
        <v>4343</v>
      </c>
      <c r="AF764" s="165" t="s">
        <v>4333</v>
      </c>
      <c r="AG764" s="208">
        <v>10972.32</v>
      </c>
      <c r="AH764" s="208">
        <f>AG764+30000</f>
        <v>40972.32</v>
      </c>
      <c r="AI764" s="165" t="s">
        <v>4336</v>
      </c>
      <c r="AJ764" s="104" t="s">
        <v>4438</v>
      </c>
      <c r="AK764" s="103">
        <v>146686514</v>
      </c>
      <c r="AL764" s="103" t="s">
        <v>4338</v>
      </c>
      <c r="AM764" s="103" t="s">
        <v>4338</v>
      </c>
      <c r="AN764" s="103" t="s">
        <v>4339</v>
      </c>
      <c r="AP764" s="171" t="s">
        <v>7637</v>
      </c>
      <c r="AQ764" s="103" t="s">
        <v>4338</v>
      </c>
      <c r="AR764" s="103" t="s">
        <v>4338</v>
      </c>
      <c r="AS764" s="103" t="s">
        <v>4338</v>
      </c>
      <c r="AT764" s="103" t="s">
        <v>4338</v>
      </c>
      <c r="AU764" s="105">
        <v>46021</v>
      </c>
      <c r="AV764" s="112" t="s">
        <v>4338</v>
      </c>
      <c r="AW764" s="98" t="s">
        <v>4338</v>
      </c>
      <c r="AX764" s="264">
        <v>46041</v>
      </c>
      <c r="AY764" s="265">
        <v>46041</v>
      </c>
      <c r="AZ764" s="157" t="s">
        <v>4453</v>
      </c>
      <c r="BA764" s="107" t="s">
        <v>4454</v>
      </c>
      <c r="BB764" s="136" t="s">
        <v>4338</v>
      </c>
      <c r="BC764" s="220">
        <f t="shared" si="78"/>
        <v>45</v>
      </c>
      <c r="BD764" s="103" t="str">
        <f t="shared" si="79"/>
        <v>INDENIZAÇÃO</v>
      </c>
      <c r="BE764" s="103" t="str">
        <f t="shared" si="80"/>
        <v>NÃO</v>
      </c>
      <c r="BF764" s="102" t="s">
        <v>4357</v>
      </c>
      <c r="BG764" s="102" t="s">
        <v>4357</v>
      </c>
      <c r="BH764" s="102" t="s">
        <v>4357</v>
      </c>
      <c r="BI764" s="266" t="s">
        <v>5393</v>
      </c>
      <c r="BJ764" s="266"/>
      <c r="BK764" s="266"/>
      <c r="BL764" s="266"/>
      <c r="BM764" s="244"/>
    </row>
    <row r="765" spans="1:66" ht="30" customHeight="1">
      <c r="A765" s="165">
        <v>756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7638</v>
      </c>
      <c r="G765" s="103" t="s">
        <v>4330</v>
      </c>
      <c r="H765" s="103" t="s">
        <v>4331</v>
      </c>
      <c r="I765" s="142" t="s">
        <v>4343</v>
      </c>
      <c r="J765" s="149" t="s">
        <v>7639</v>
      </c>
      <c r="K765" s="149" t="s">
        <v>4457</v>
      </c>
      <c r="L765" s="149" t="s">
        <v>7640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46001</v>
      </c>
      <c r="Z765" s="105"/>
      <c r="AA765" s="105"/>
      <c r="AB765" s="149" t="s">
        <v>7639</v>
      </c>
      <c r="AC765" s="149" t="s">
        <v>4457</v>
      </c>
      <c r="AD765" s="149" t="s">
        <v>7640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2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  <c r="BN765" s="232"/>
    </row>
    <row r="766" spans="1:66" ht="30" customHeight="1">
      <c r="A766" s="165">
        <v>757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7641</v>
      </c>
      <c r="G766" s="103" t="s">
        <v>4330</v>
      </c>
      <c r="H766" s="103" t="s">
        <v>4331</v>
      </c>
      <c r="I766" s="142" t="s">
        <v>4343</v>
      </c>
      <c r="J766" s="149" t="s">
        <v>7642</v>
      </c>
      <c r="K766" s="149" t="s">
        <v>7643</v>
      </c>
      <c r="L766" s="149" t="s">
        <v>7644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7642</v>
      </c>
      <c r="AC766" s="149" t="s">
        <v>7643</v>
      </c>
      <c r="AD766" s="149" t="s">
        <v>7644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03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03"/>
      <c r="AX766" s="105"/>
      <c r="AY766" s="166"/>
      <c r="AZ766" s="105"/>
      <c r="BA766" s="103"/>
      <c r="BB766" s="136"/>
      <c r="BC766" s="220" t="str">
        <f t="shared" si="78"/>
        <v/>
      </c>
      <c r="BD766" s="103" t="str">
        <f t="shared" si="79"/>
        <v>AA</v>
      </c>
      <c r="BE766" s="103" t="str">
        <f t="shared" si="80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6" ht="30" customHeight="1">
      <c r="A767" s="103">
        <v>758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7645</v>
      </c>
      <c r="G767" s="103" t="s">
        <v>4330</v>
      </c>
      <c r="H767" s="103" t="s">
        <v>4331</v>
      </c>
      <c r="I767" s="142" t="s">
        <v>4343</v>
      </c>
      <c r="J767" s="149" t="s">
        <v>7646</v>
      </c>
      <c r="K767" s="149" t="s">
        <v>7647</v>
      </c>
      <c r="L767" s="149" t="s">
        <v>7648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7646</v>
      </c>
      <c r="AC767" s="149" t="s">
        <v>7647</v>
      </c>
      <c r="AD767" s="149" t="s">
        <v>7648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3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6" ht="30" customHeight="1">
      <c r="A768" s="103">
        <v>759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7649</v>
      </c>
      <c r="G768" s="103" t="s">
        <v>4330</v>
      </c>
      <c r="H768" s="103" t="s">
        <v>4331</v>
      </c>
      <c r="I768" s="142" t="s">
        <v>4343</v>
      </c>
      <c r="J768" s="149" t="s">
        <v>7650</v>
      </c>
      <c r="K768" s="149" t="s">
        <v>7651</v>
      </c>
      <c r="L768" s="149" t="s">
        <v>7652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7650</v>
      </c>
      <c r="AC768" s="149" t="s">
        <v>7651</v>
      </c>
      <c r="AD768" s="149" t="s">
        <v>7652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760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7653</v>
      </c>
      <c r="G769" s="103" t="s">
        <v>4330</v>
      </c>
      <c r="H769" s="103" t="s">
        <v>4331</v>
      </c>
      <c r="I769" s="142" t="s">
        <v>4343</v>
      </c>
      <c r="J769" s="149" t="s">
        <v>772</v>
      </c>
      <c r="K769" s="149" t="s">
        <v>7654</v>
      </c>
      <c r="L769" s="149" t="s">
        <v>7655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8" t="s">
        <v>4437</v>
      </c>
      <c r="W769" s="108" t="s">
        <v>4437</v>
      </c>
      <c r="X769" s="105">
        <v>45999</v>
      </c>
      <c r="Y769" s="105">
        <v>46001</v>
      </c>
      <c r="Z769" s="105"/>
      <c r="AA769" s="105"/>
      <c r="AB769" s="149" t="s">
        <v>772</v>
      </c>
      <c r="AC769" s="149" t="s">
        <v>7654</v>
      </c>
      <c r="AD769" s="149" t="s">
        <v>7655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5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65">
        <v>761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7656</v>
      </c>
      <c r="G770" s="103" t="s">
        <v>4330</v>
      </c>
      <c r="H770" s="103" t="s">
        <v>4331</v>
      </c>
      <c r="I770" s="142" t="s">
        <v>4343</v>
      </c>
      <c r="J770" s="149" t="s">
        <v>7657</v>
      </c>
      <c r="K770" s="149" t="s">
        <v>7658</v>
      </c>
      <c r="L770" s="149" t="s">
        <v>7659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7657</v>
      </c>
      <c r="AC770" s="149" t="s">
        <v>7658</v>
      </c>
      <c r="AD770" s="149" t="s">
        <v>7659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12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12"/>
      <c r="AX770" s="112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65">
        <v>762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7660</v>
      </c>
      <c r="G771" s="103" t="s">
        <v>4330</v>
      </c>
      <c r="H771" s="103" t="s">
        <v>4331</v>
      </c>
      <c r="I771" s="142" t="s">
        <v>4343</v>
      </c>
      <c r="J771" s="149" t="s">
        <v>7661</v>
      </c>
      <c r="K771" s="149" t="s">
        <v>7662</v>
      </c>
      <c r="L771" s="149" t="s">
        <v>7663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7661</v>
      </c>
      <c r="AC771" s="149" t="s">
        <v>7662</v>
      </c>
      <c r="AD771" s="149" t="s">
        <v>7663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12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12"/>
      <c r="AX771" s="112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763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7664</v>
      </c>
      <c r="G772" s="103" t="s">
        <v>4330</v>
      </c>
      <c r="H772" s="103" t="s">
        <v>4331</v>
      </c>
      <c r="I772" s="142" t="s">
        <v>4343</v>
      </c>
      <c r="J772" s="149" t="s">
        <v>7665</v>
      </c>
      <c r="K772" s="149" t="s">
        <v>7666</v>
      </c>
      <c r="L772" s="149" t="s">
        <v>7667</v>
      </c>
      <c r="M772" s="103" t="s">
        <v>4333</v>
      </c>
      <c r="N772" s="103" t="s">
        <v>4345</v>
      </c>
      <c r="O772" s="105">
        <v>45996</v>
      </c>
      <c r="P772" s="105">
        <v>46002</v>
      </c>
      <c r="Q772" s="105" t="s">
        <v>4436</v>
      </c>
      <c r="R772" s="105">
        <v>45999</v>
      </c>
      <c r="S772" s="105">
        <v>46006</v>
      </c>
      <c r="T772" s="105">
        <v>46006</v>
      </c>
      <c r="U772" s="105">
        <v>46009</v>
      </c>
      <c r="V772" s="105" t="s">
        <v>4437</v>
      </c>
      <c r="W772" s="105" t="s">
        <v>4437</v>
      </c>
      <c r="X772" s="105">
        <v>46014</v>
      </c>
      <c r="Y772" s="105">
        <v>46027</v>
      </c>
      <c r="Z772" s="105"/>
      <c r="AA772" s="105"/>
      <c r="AB772" s="149" t="s">
        <v>7665</v>
      </c>
      <c r="AC772" s="149" t="s">
        <v>7666</v>
      </c>
      <c r="AD772" s="149" t="s">
        <v>7667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165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12"/>
      <c r="AR772" s="112"/>
      <c r="AS772" s="112"/>
      <c r="AT772" s="112"/>
      <c r="AU772" s="112"/>
      <c r="AV772" s="112"/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03">
        <v>764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7668</v>
      </c>
      <c r="G773" s="103" t="s">
        <v>4330</v>
      </c>
      <c r="H773" s="103" t="s">
        <v>4331</v>
      </c>
      <c r="I773" s="142" t="s">
        <v>4343</v>
      </c>
      <c r="J773" s="149" t="s">
        <v>7669</v>
      </c>
      <c r="K773" s="149" t="s">
        <v>7670</v>
      </c>
      <c r="L773" s="149" t="s">
        <v>7671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7669</v>
      </c>
      <c r="AC773" s="149" t="s">
        <v>7670</v>
      </c>
      <c r="AD773" s="149" t="s">
        <v>7671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2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03">
        <v>765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7672</v>
      </c>
      <c r="G774" s="103" t="s">
        <v>4330</v>
      </c>
      <c r="H774" s="103" t="s">
        <v>4331</v>
      </c>
      <c r="I774" s="142" t="s">
        <v>4343</v>
      </c>
      <c r="J774" s="149" t="s">
        <v>7673</v>
      </c>
      <c r="K774" s="149" t="s">
        <v>7674</v>
      </c>
      <c r="L774" s="149" t="s">
        <v>7675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5" t="s">
        <v>4437</v>
      </c>
      <c r="W774" s="105" t="s">
        <v>4437</v>
      </c>
      <c r="X774" s="105">
        <v>45999</v>
      </c>
      <c r="Y774" s="105">
        <v>46001</v>
      </c>
      <c r="Z774" s="105"/>
      <c r="AA774" s="105"/>
      <c r="AB774" s="149" t="s">
        <v>7673</v>
      </c>
      <c r="AC774" s="149" t="s">
        <v>7674</v>
      </c>
      <c r="AD774" s="149" t="s">
        <v>7675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766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7676</v>
      </c>
      <c r="G775" s="103" t="s">
        <v>4330</v>
      </c>
      <c r="H775" s="103" t="s">
        <v>4331</v>
      </c>
      <c r="I775" s="142" t="s">
        <v>4343</v>
      </c>
      <c r="J775" s="149" t="s">
        <v>7677</v>
      </c>
      <c r="K775" s="149" t="s">
        <v>7678</v>
      </c>
      <c r="L775" s="149" t="s">
        <v>7679</v>
      </c>
      <c r="M775" s="103" t="s">
        <v>4333</v>
      </c>
      <c r="N775" s="103" t="s">
        <v>4345</v>
      </c>
      <c r="O775" s="105">
        <v>45988</v>
      </c>
      <c r="P775" s="105">
        <v>46002</v>
      </c>
      <c r="Q775" s="105" t="s">
        <v>4436</v>
      </c>
      <c r="R775" s="105">
        <v>45999</v>
      </c>
      <c r="S775" s="105">
        <v>46006</v>
      </c>
      <c r="T775" s="105">
        <v>46006</v>
      </c>
      <c r="U775" s="105">
        <v>46009</v>
      </c>
      <c r="V775" s="105" t="s">
        <v>4437</v>
      </c>
      <c r="W775" s="105" t="s">
        <v>4437</v>
      </c>
      <c r="X775" s="105">
        <v>46014</v>
      </c>
      <c r="Y775" s="105">
        <v>46020</v>
      </c>
      <c r="Z775" s="105"/>
      <c r="AA775" s="105"/>
      <c r="AB775" s="149" t="s">
        <v>7677</v>
      </c>
      <c r="AC775" s="149" t="s">
        <v>7678</v>
      </c>
      <c r="AD775" s="149" t="s">
        <v>7679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165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/>
      <c r="AT775" s="103"/>
      <c r="AU775" s="105"/>
      <c r="AV775" s="112"/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65">
        <v>767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7680</v>
      </c>
      <c r="G776" s="103" t="s">
        <v>4330</v>
      </c>
      <c r="H776" s="103" t="s">
        <v>4331</v>
      </c>
      <c r="I776" s="142" t="s">
        <v>4343</v>
      </c>
      <c r="J776" s="149" t="s">
        <v>7681</v>
      </c>
      <c r="K776" s="149" t="s">
        <v>7682</v>
      </c>
      <c r="L776" s="149" t="s">
        <v>7683</v>
      </c>
      <c r="M776" s="103" t="s">
        <v>4333</v>
      </c>
      <c r="N776" s="103" t="s">
        <v>4345</v>
      </c>
      <c r="O776" s="105">
        <v>45996</v>
      </c>
      <c r="P776" s="105">
        <v>46002</v>
      </c>
      <c r="Q776" s="105" t="s">
        <v>4436</v>
      </c>
      <c r="R776" s="105">
        <v>45999</v>
      </c>
      <c r="S776" s="105">
        <v>46006</v>
      </c>
      <c r="T776" s="105">
        <v>46006</v>
      </c>
      <c r="U776" s="105">
        <v>46009</v>
      </c>
      <c r="V776" s="105" t="s">
        <v>4437</v>
      </c>
      <c r="W776" s="105" t="s">
        <v>4437</v>
      </c>
      <c r="X776" s="105">
        <v>46014</v>
      </c>
      <c r="Y776" s="105">
        <v>46020</v>
      </c>
      <c r="Z776" s="105"/>
      <c r="AA776" s="105"/>
      <c r="AB776" s="149" t="s">
        <v>7681</v>
      </c>
      <c r="AC776" s="149" t="s">
        <v>7682</v>
      </c>
      <c r="AD776" s="149" t="s">
        <v>7683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103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/>
      <c r="AT776" s="103"/>
      <c r="AU776" s="105"/>
      <c r="AV776" s="112"/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65">
        <v>768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7684</v>
      </c>
      <c r="G777" s="103" t="s">
        <v>4330</v>
      </c>
      <c r="H777" s="103" t="s">
        <v>4331</v>
      </c>
      <c r="I777" s="142" t="s">
        <v>4343</v>
      </c>
      <c r="J777" s="149" t="s">
        <v>7685</v>
      </c>
      <c r="K777" s="149" t="s">
        <v>7686</v>
      </c>
      <c r="L777" s="149" t="s">
        <v>7687</v>
      </c>
      <c r="M777" s="103" t="s">
        <v>4333</v>
      </c>
      <c r="N777" s="103" t="s">
        <v>4345</v>
      </c>
      <c r="O777" s="105">
        <v>45996</v>
      </c>
      <c r="P777" s="105">
        <v>45986</v>
      </c>
      <c r="Q777" s="108" t="s">
        <v>4436</v>
      </c>
      <c r="R777" s="108">
        <v>45985</v>
      </c>
      <c r="S777" s="108">
        <v>45986</v>
      </c>
      <c r="T777" s="108">
        <v>45987</v>
      </c>
      <c r="U777" s="108">
        <v>45992</v>
      </c>
      <c r="V777" s="105" t="s">
        <v>4437</v>
      </c>
      <c r="W777" s="105" t="s">
        <v>4437</v>
      </c>
      <c r="X777" s="105">
        <v>45999</v>
      </c>
      <c r="Y777" s="105">
        <v>46002</v>
      </c>
      <c r="Z777" s="105"/>
      <c r="AA777" s="105"/>
      <c r="AB777" s="149" t="s">
        <v>7685</v>
      </c>
      <c r="AC777" s="149" t="s">
        <v>7686</v>
      </c>
      <c r="AD777" s="149" t="s">
        <v>7687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212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03"/>
      <c r="AR777" s="103"/>
      <c r="AS777" s="103" t="s">
        <v>4356</v>
      </c>
      <c r="AT777" s="103" t="s">
        <v>4356</v>
      </c>
      <c r="AU777" s="103" t="s">
        <v>4356</v>
      </c>
      <c r="AV777" s="103" t="s">
        <v>4356</v>
      </c>
      <c r="AW777" s="112"/>
      <c r="AX777" s="112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769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7688</v>
      </c>
      <c r="G778" s="103" t="s">
        <v>4330</v>
      </c>
      <c r="H778" s="103" t="s">
        <v>4331</v>
      </c>
      <c r="I778" s="142" t="s">
        <v>4343</v>
      </c>
      <c r="J778" s="149" t="s">
        <v>7689</v>
      </c>
      <c r="K778" s="149" t="s">
        <v>7690</v>
      </c>
      <c r="L778" s="149" t="s">
        <v>7691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46001</v>
      </c>
      <c r="Z778" s="105"/>
      <c r="AA778" s="105"/>
      <c r="AB778" s="149" t="s">
        <v>7689</v>
      </c>
      <c r="AC778" s="149" t="s">
        <v>7690</v>
      </c>
      <c r="AD778" s="149" t="s">
        <v>7691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0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03">
        <v>770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7692</v>
      </c>
      <c r="G779" s="103" t="s">
        <v>4330</v>
      </c>
      <c r="H779" s="103" t="s">
        <v>4331</v>
      </c>
      <c r="I779" s="142" t="s">
        <v>4343</v>
      </c>
      <c r="J779" s="149" t="s">
        <v>7693</v>
      </c>
      <c r="K779" s="149" t="s">
        <v>7694</v>
      </c>
      <c r="L779" s="149" t="s">
        <v>7695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46006</v>
      </c>
      <c r="Z779" s="105"/>
      <c r="AA779" s="105"/>
      <c r="AB779" s="149" t="s">
        <v>7693</v>
      </c>
      <c r="AC779" s="149" t="s">
        <v>7694</v>
      </c>
      <c r="AD779" s="149" t="s">
        <v>7695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03">
        <v>771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7696</v>
      </c>
      <c r="G780" s="103" t="s">
        <v>4330</v>
      </c>
      <c r="H780" s="103" t="s">
        <v>4331</v>
      </c>
      <c r="I780" s="142" t="s">
        <v>4343</v>
      </c>
      <c r="J780" s="149" t="s">
        <v>7697</v>
      </c>
      <c r="K780" s="149" t="s">
        <v>7698</v>
      </c>
      <c r="L780" s="149" t="s">
        <v>7699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46000</v>
      </c>
      <c r="Z780" s="105"/>
      <c r="AA780" s="105"/>
      <c r="AB780" s="149" t="s">
        <v>7697</v>
      </c>
      <c r="AC780" s="149" t="s">
        <v>7698</v>
      </c>
      <c r="AD780" s="149" t="s">
        <v>7699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772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7700</v>
      </c>
      <c r="G781" s="103" t="s">
        <v>4330</v>
      </c>
      <c r="H781" s="103" t="s">
        <v>4331</v>
      </c>
      <c r="I781" s="142" t="s">
        <v>4343</v>
      </c>
      <c r="J781" s="149" t="s">
        <v>7701</v>
      </c>
      <c r="K781" s="149" t="s">
        <v>7702</v>
      </c>
      <c r="L781" s="149" t="s">
        <v>7703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46002</v>
      </c>
      <c r="Z781" s="105"/>
      <c r="AA781" s="105"/>
      <c r="AB781" s="149" t="s">
        <v>7701</v>
      </c>
      <c r="AC781" s="149" t="s">
        <v>7702</v>
      </c>
      <c r="AD781" s="149" t="s">
        <v>7703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12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12"/>
      <c r="AX781" s="112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65">
        <v>773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7704</v>
      </c>
      <c r="G782" s="103" t="s">
        <v>4330</v>
      </c>
      <c r="H782" s="103" t="s">
        <v>4331</v>
      </c>
      <c r="I782" s="142" t="s">
        <v>4343</v>
      </c>
      <c r="J782" s="149" t="s">
        <v>7705</v>
      </c>
      <c r="K782" s="149" t="s">
        <v>7706</v>
      </c>
      <c r="L782" s="149" t="s">
        <v>7707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46001</v>
      </c>
      <c r="Z782" s="105"/>
      <c r="AA782" s="105"/>
      <c r="AB782" s="149" t="s">
        <v>7705</v>
      </c>
      <c r="AC782" s="149" t="s">
        <v>7706</v>
      </c>
      <c r="AD782" s="149" t="s">
        <v>7707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65">
        <v>774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7708</v>
      </c>
      <c r="G783" s="103" t="s">
        <v>4330</v>
      </c>
      <c r="H783" s="103" t="s">
        <v>4331</v>
      </c>
      <c r="I783" s="142" t="s">
        <v>4343</v>
      </c>
      <c r="J783" s="149" t="s">
        <v>7709</v>
      </c>
      <c r="K783" s="149" t="s">
        <v>7710</v>
      </c>
      <c r="L783" s="149" t="s">
        <v>7711</v>
      </c>
      <c r="M783" s="103" t="s">
        <v>4333</v>
      </c>
      <c r="N783" s="103" t="s">
        <v>4345</v>
      </c>
      <c r="O783" s="105">
        <v>45996</v>
      </c>
      <c r="P783" s="105">
        <v>46002</v>
      </c>
      <c r="Q783" s="105" t="s">
        <v>4436</v>
      </c>
      <c r="R783" s="105">
        <v>45999</v>
      </c>
      <c r="S783" s="105">
        <v>46006</v>
      </c>
      <c r="T783" s="105">
        <v>46006</v>
      </c>
      <c r="U783" s="105">
        <v>46009</v>
      </c>
      <c r="V783" s="105" t="s">
        <v>4437</v>
      </c>
      <c r="W783" s="105" t="s">
        <v>4437</v>
      </c>
      <c r="X783" s="105">
        <v>46014</v>
      </c>
      <c r="Y783" s="105">
        <v>46035</v>
      </c>
      <c r="Z783" s="105"/>
      <c r="AA783" s="105"/>
      <c r="AB783" s="149" t="s">
        <v>7709</v>
      </c>
      <c r="AC783" s="149" t="s">
        <v>7710</v>
      </c>
      <c r="AD783" s="149" t="s">
        <v>7711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165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/>
      <c r="AT783" s="103"/>
      <c r="AU783" s="105"/>
      <c r="AV783" s="112"/>
      <c r="AW783" s="103"/>
      <c r="AX783" s="105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775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7712</v>
      </c>
      <c r="G784" s="103" t="s">
        <v>4330</v>
      </c>
      <c r="H784" s="103" t="s">
        <v>4331</v>
      </c>
      <c r="I784" s="142" t="s">
        <v>4343</v>
      </c>
      <c r="J784" s="149" t="s">
        <v>7713</v>
      </c>
      <c r="K784" s="149" t="s">
        <v>7714</v>
      </c>
      <c r="L784" s="149" t="s">
        <v>7715</v>
      </c>
      <c r="M784" s="103" t="s">
        <v>4333</v>
      </c>
      <c r="N784" s="103" t="s">
        <v>4345</v>
      </c>
      <c r="O784" s="105">
        <v>45980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8" t="s">
        <v>4437</v>
      </c>
      <c r="W784" s="108" t="s">
        <v>4437</v>
      </c>
      <c r="X784" s="105">
        <v>45999</v>
      </c>
      <c r="Y784" s="105">
        <v>46000</v>
      </c>
      <c r="Z784" s="108"/>
      <c r="AA784" s="112"/>
      <c r="AB784" s="149" t="s">
        <v>7713</v>
      </c>
      <c r="AC784" s="149" t="s">
        <v>7714</v>
      </c>
      <c r="AD784" s="149" t="s">
        <v>7715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2" t="s">
        <v>4355</v>
      </c>
      <c r="AJ784" s="104" t="s">
        <v>4438</v>
      </c>
      <c r="AK784" s="103"/>
      <c r="AL784" s="103"/>
      <c r="AM784" s="103"/>
      <c r="AN784" s="103"/>
      <c r="AO784" s="112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12"/>
      <c r="AX784" s="112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03">
        <v>776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7716</v>
      </c>
      <c r="G785" s="103" t="s">
        <v>4330</v>
      </c>
      <c r="H785" s="103" t="s">
        <v>4331</v>
      </c>
      <c r="I785" s="142" t="s">
        <v>4343</v>
      </c>
      <c r="J785" s="149" t="s">
        <v>7717</v>
      </c>
      <c r="K785" s="149" t="s">
        <v>4432</v>
      </c>
      <c r="L785" s="149" t="s">
        <v>7718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46001</v>
      </c>
      <c r="Z785" s="105"/>
      <c r="AA785" s="105"/>
      <c r="AB785" s="149" t="s">
        <v>7717</v>
      </c>
      <c r="AC785" s="149" t="s">
        <v>4432</v>
      </c>
      <c r="AD785" s="149" t="s">
        <v>7718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12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12"/>
      <c r="AX785" s="112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03">
        <v>777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7719</v>
      </c>
      <c r="G786" s="103" t="s">
        <v>4330</v>
      </c>
      <c r="H786" s="103" t="s">
        <v>4331</v>
      </c>
      <c r="I786" s="142" t="s">
        <v>4343</v>
      </c>
      <c r="J786" s="149" t="s">
        <v>7720</v>
      </c>
      <c r="K786" s="149" t="s">
        <v>7721</v>
      </c>
      <c r="L786" s="149" t="s">
        <v>7722</v>
      </c>
      <c r="M786" s="103" t="s">
        <v>4333</v>
      </c>
      <c r="N786" s="103" t="s">
        <v>4459</v>
      </c>
      <c r="O786" s="105">
        <v>46106</v>
      </c>
      <c r="P786" s="105" t="s">
        <v>4356</v>
      </c>
      <c r="Q786" s="105" t="s">
        <v>4356</v>
      </c>
      <c r="R786" s="105" t="s">
        <v>4356</v>
      </c>
      <c r="S786" s="105" t="s">
        <v>4356</v>
      </c>
      <c r="T786" s="105" t="s">
        <v>4356</v>
      </c>
      <c r="U786" s="105" t="s">
        <v>4356</v>
      </c>
      <c r="V786" s="105" t="s">
        <v>4356</v>
      </c>
      <c r="W786" s="105" t="s">
        <v>4356</v>
      </c>
      <c r="X786" s="105" t="s">
        <v>4356</v>
      </c>
      <c r="Y786" s="105" t="s">
        <v>4356</v>
      </c>
      <c r="Z786" s="105"/>
      <c r="AA786" s="105"/>
      <c r="AB786" s="204" t="s">
        <v>7720</v>
      </c>
      <c r="AC786" s="204" t="s">
        <v>7721</v>
      </c>
      <c r="AD786" s="204" t="s">
        <v>7722</v>
      </c>
      <c r="AE786" s="165" t="s">
        <v>4343</v>
      </c>
      <c r="AF786" s="172" t="s">
        <v>5044</v>
      </c>
      <c r="AG786" s="208">
        <v>27464.76</v>
      </c>
      <c r="AH786" s="208">
        <v>57464.76</v>
      </c>
      <c r="AI786" s="165" t="s">
        <v>4336</v>
      </c>
      <c r="AJ786" s="104" t="s">
        <v>4438</v>
      </c>
      <c r="AK786" s="103">
        <v>152697035</v>
      </c>
      <c r="AL786" s="142" t="s">
        <v>4338</v>
      </c>
      <c r="AM786" s="103" t="s">
        <v>4338</v>
      </c>
      <c r="AN786" s="103" t="s">
        <v>4339</v>
      </c>
      <c r="AO786" s="103"/>
      <c r="AP786" s="171" t="s">
        <v>7723</v>
      </c>
      <c r="AQ786" s="143" t="s">
        <v>4338</v>
      </c>
      <c r="AR786" s="143" t="s">
        <v>4338</v>
      </c>
      <c r="AS786" s="103" t="s">
        <v>4338</v>
      </c>
      <c r="AT786" s="103" t="s">
        <v>4338</v>
      </c>
      <c r="AU786" s="105">
        <v>46153</v>
      </c>
      <c r="AV786" s="103" t="s">
        <v>4338</v>
      </c>
      <c r="AW786" s="103" t="s">
        <v>4338</v>
      </c>
      <c r="AX786" s="105">
        <v>46157</v>
      </c>
      <c r="AY786" s="106">
        <v>46157</v>
      </c>
      <c r="AZ786" s="157" t="s">
        <v>4453</v>
      </c>
      <c r="BA786" s="107" t="s">
        <v>4454</v>
      </c>
      <c r="BB786" s="136" t="s">
        <v>4338</v>
      </c>
      <c r="BC786" s="220">
        <f t="shared" si="78"/>
        <v>51</v>
      </c>
      <c r="BD786" s="103" t="str">
        <f t="shared" si="79"/>
        <v>INDENIZAÇÃO</v>
      </c>
      <c r="BE786" s="103" t="str">
        <f t="shared" si="80"/>
        <v>NÃO</v>
      </c>
      <c r="BF786" s="140" t="s">
        <v>4357</v>
      </c>
      <c r="BG786" s="140" t="s">
        <v>4357</v>
      </c>
      <c r="BH786" s="140" t="s">
        <v>4357</v>
      </c>
      <c r="BI786" s="154" t="s">
        <v>5393</v>
      </c>
      <c r="BJ786" s="154"/>
      <c r="BK786" s="154"/>
      <c r="BL786" s="154"/>
      <c r="BM786" s="237"/>
    </row>
    <row r="787" spans="1:65" ht="30" customHeight="1">
      <c r="A787" s="103">
        <v>778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7724</v>
      </c>
      <c r="G787" s="103" t="s">
        <v>4330</v>
      </c>
      <c r="H787" s="103" t="s">
        <v>4331</v>
      </c>
      <c r="I787" s="142" t="s">
        <v>4343</v>
      </c>
      <c r="J787" s="150" t="s">
        <v>7725</v>
      </c>
      <c r="K787" s="150" t="s">
        <v>7726</v>
      </c>
      <c r="L787" s="150" t="s">
        <v>7727</v>
      </c>
      <c r="M787" s="112" t="s">
        <v>4333</v>
      </c>
      <c r="N787" s="103" t="s">
        <v>4345</v>
      </c>
      <c r="O787" s="108"/>
      <c r="P787" s="105">
        <v>46065</v>
      </c>
      <c r="Q787" s="108" t="s">
        <v>4436</v>
      </c>
      <c r="R787" s="105">
        <v>46072</v>
      </c>
      <c r="S787" s="108">
        <v>46072</v>
      </c>
      <c r="T787" s="108">
        <v>46080</v>
      </c>
      <c r="U787" s="105">
        <v>46083</v>
      </c>
      <c r="V787" s="105" t="s">
        <v>4437</v>
      </c>
      <c r="W787" s="105" t="s">
        <v>4437</v>
      </c>
      <c r="X787" s="108">
        <v>46055</v>
      </c>
      <c r="Y787" s="108">
        <v>46091</v>
      </c>
      <c r="Z787" s="108"/>
      <c r="AA787" s="112"/>
      <c r="AB787" s="150" t="s">
        <v>7725</v>
      </c>
      <c r="AC787" s="150" t="s">
        <v>7726</v>
      </c>
      <c r="AD787" s="150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12"/>
      <c r="AR787" s="112"/>
      <c r="AS787" s="112"/>
      <c r="AT787" s="195"/>
      <c r="AU787" s="112"/>
      <c r="AV787" s="112"/>
      <c r="AW787" s="195"/>
      <c r="AX787" s="112"/>
      <c r="AY787" s="166"/>
      <c r="AZ787" s="108"/>
      <c r="BA787" s="112"/>
      <c r="BB787" s="112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12"/>
      <c r="BG787" s="147"/>
      <c r="BH787" s="147"/>
      <c r="BI787" s="112"/>
      <c r="BJ787" s="112"/>
      <c r="BK787" s="112"/>
      <c r="BL787" s="112"/>
      <c r="BM787" s="236"/>
    </row>
    <row r="788" spans="1:65" ht="30" customHeight="1">
      <c r="A788" s="165">
        <v>779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7728</v>
      </c>
      <c r="G788" s="112" t="s">
        <v>4330</v>
      </c>
      <c r="H788" s="112" t="s">
        <v>4331</v>
      </c>
      <c r="I788" s="142" t="s">
        <v>4343</v>
      </c>
      <c r="J788" s="150" t="s">
        <v>7729</v>
      </c>
      <c r="K788" s="150" t="s">
        <v>7730</v>
      </c>
      <c r="L788" s="150" t="s">
        <v>7731</v>
      </c>
      <c r="M788" s="112" t="s">
        <v>4333</v>
      </c>
      <c r="N788" s="103" t="s">
        <v>4345</v>
      </c>
      <c r="O788" s="108"/>
      <c r="P788" s="105">
        <v>46065</v>
      </c>
      <c r="Q788" s="108" t="s">
        <v>4436</v>
      </c>
      <c r="R788" s="105">
        <v>46072</v>
      </c>
      <c r="S788" s="108">
        <v>46072</v>
      </c>
      <c r="T788" s="108">
        <v>46080</v>
      </c>
      <c r="U788" s="105">
        <v>46083</v>
      </c>
      <c r="V788" s="105" t="s">
        <v>4437</v>
      </c>
      <c r="W788" s="105" t="s">
        <v>4437</v>
      </c>
      <c r="X788" s="108">
        <v>46055</v>
      </c>
      <c r="Y788" s="108">
        <v>46091</v>
      </c>
      <c r="Z788" s="108"/>
      <c r="AA788" s="112"/>
      <c r="AB788" s="150" t="s">
        <v>7729</v>
      </c>
      <c r="AC788" s="150" t="s">
        <v>7730</v>
      </c>
      <c r="AD788" s="150" t="s">
        <v>7731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210" t="s">
        <v>4355</v>
      </c>
      <c r="AJ788" s="104" t="s">
        <v>4438</v>
      </c>
      <c r="AK788" s="103"/>
      <c r="AL788" s="103"/>
      <c r="AM788" s="103"/>
      <c r="AN788" s="103"/>
      <c r="AO788" s="112"/>
      <c r="AP788" s="171"/>
      <c r="AQ788" s="112"/>
      <c r="AR788" s="112"/>
      <c r="AS788" s="112"/>
      <c r="AT788" s="112"/>
      <c r="AU788" s="112"/>
      <c r="AV788" s="112"/>
      <c r="AW788" s="112"/>
      <c r="AX788" s="112"/>
      <c r="AY788" s="166"/>
      <c r="AZ788" s="108"/>
      <c r="BA788" s="112"/>
      <c r="BB788" s="112"/>
      <c r="BC788" s="220" t="str">
        <f t="shared" si="78"/>
        <v/>
      </c>
      <c r="BD788" s="103" t="str">
        <f t="shared" si="79"/>
        <v>AA</v>
      </c>
      <c r="BE788" s="103" t="str">
        <f t="shared" si="80"/>
        <v>NÃO</v>
      </c>
      <c r="BF788" s="112"/>
      <c r="BG788" s="147"/>
      <c r="BH788" s="147"/>
      <c r="BI788" s="112"/>
      <c r="BJ788" s="112"/>
      <c r="BK788" s="112"/>
      <c r="BL788" s="112"/>
      <c r="BM788" s="236"/>
    </row>
    <row r="789" spans="1:65" ht="30" customHeight="1">
      <c r="A789" s="165">
        <v>780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7732</v>
      </c>
      <c r="G789" s="103" t="s">
        <v>4330</v>
      </c>
      <c r="H789" s="103" t="s">
        <v>4331</v>
      </c>
      <c r="I789" s="142" t="s">
        <v>4343</v>
      </c>
      <c r="J789" s="150" t="s">
        <v>7733</v>
      </c>
      <c r="K789" s="150" t="s">
        <v>7734</v>
      </c>
      <c r="L789" s="150" t="s">
        <v>7735</v>
      </c>
      <c r="M789" s="112" t="s">
        <v>4333</v>
      </c>
      <c r="N789" s="103" t="s">
        <v>4345</v>
      </c>
      <c r="O789" s="108"/>
      <c r="P789" s="105">
        <v>46084</v>
      </c>
      <c r="Q789" s="105" t="s">
        <v>4436</v>
      </c>
      <c r="R789" s="105">
        <v>46083</v>
      </c>
      <c r="S789" s="108">
        <v>46084</v>
      </c>
      <c r="T789" s="108">
        <v>46087</v>
      </c>
      <c r="U789" s="108">
        <v>46090</v>
      </c>
      <c r="V789" s="105" t="s">
        <v>4437</v>
      </c>
      <c r="W789" s="105" t="s">
        <v>4437</v>
      </c>
      <c r="X789" s="105">
        <v>46101</v>
      </c>
      <c r="Y789" s="105">
        <v>46101</v>
      </c>
      <c r="Z789" s="108"/>
      <c r="AA789" s="112"/>
      <c r="AB789" s="150" t="s">
        <v>7733</v>
      </c>
      <c r="AC789" s="150" t="s">
        <v>7734</v>
      </c>
      <c r="AD789" s="150" t="s">
        <v>7735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12"/>
      <c r="AU789" s="112"/>
      <c r="AV789" s="112"/>
      <c r="AW789" s="112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781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7736</v>
      </c>
      <c r="G790" s="112" t="s">
        <v>4330</v>
      </c>
      <c r="H790" s="112" t="s">
        <v>4331</v>
      </c>
      <c r="I790" s="142" t="s">
        <v>4343</v>
      </c>
      <c r="J790" s="150" t="s">
        <v>7737</v>
      </c>
      <c r="K790" s="150" t="s">
        <v>7738</v>
      </c>
      <c r="L790" s="150" t="s">
        <v>7739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46119</v>
      </c>
      <c r="Z790" s="108"/>
      <c r="AA790" s="112"/>
      <c r="AB790" s="150" t="s">
        <v>7737</v>
      </c>
      <c r="AC790" s="150" t="s">
        <v>7738</v>
      </c>
      <c r="AD790" s="150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03">
        <v>782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12" t="s">
        <v>4330</v>
      </c>
      <c r="H791" s="112" t="s">
        <v>4331</v>
      </c>
      <c r="I791" s="142" t="s">
        <v>4343</v>
      </c>
      <c r="J791" s="150" t="s">
        <v>7741</v>
      </c>
      <c r="K791" s="150" t="s">
        <v>7742</v>
      </c>
      <c r="L791" s="150" t="s">
        <v>7743</v>
      </c>
      <c r="M791" s="112" t="s">
        <v>4333</v>
      </c>
      <c r="N791" s="103" t="s">
        <v>4345</v>
      </c>
      <c r="O791" s="108"/>
      <c r="P791" s="105">
        <v>46065</v>
      </c>
      <c r="Q791" s="108" t="s">
        <v>4436</v>
      </c>
      <c r="R791" s="105">
        <v>46072</v>
      </c>
      <c r="S791" s="108">
        <v>46072</v>
      </c>
      <c r="T791" s="108">
        <v>46080</v>
      </c>
      <c r="U791" s="105">
        <v>46083</v>
      </c>
      <c r="V791" s="105" t="s">
        <v>4437</v>
      </c>
      <c r="W791" s="105" t="s">
        <v>4437</v>
      </c>
      <c r="X791" s="108">
        <v>46055</v>
      </c>
      <c r="Y791" s="108">
        <v>46114</v>
      </c>
      <c r="Z791" s="108"/>
      <c r="AA791" s="112"/>
      <c r="AB791" s="150" t="s">
        <v>7741</v>
      </c>
      <c r="AC791" s="150" t="s">
        <v>7742</v>
      </c>
      <c r="AD791" s="150" t="s">
        <v>7743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03">
        <v>783</v>
      </c>
      <c r="B792" s="103" t="s">
        <v>4431</v>
      </c>
      <c r="C792" s="103" t="s">
        <v>4329</v>
      </c>
      <c r="D792" s="103">
        <v>1</v>
      </c>
      <c r="E792" s="103" t="s">
        <v>4432</v>
      </c>
      <c r="F792" s="104" t="s">
        <v>7744</v>
      </c>
      <c r="G792" s="103" t="s">
        <v>4330</v>
      </c>
      <c r="H792" s="103" t="s">
        <v>4331</v>
      </c>
      <c r="I792" s="142" t="s">
        <v>4343</v>
      </c>
      <c r="J792" s="149" t="s">
        <v>7745</v>
      </c>
      <c r="K792" s="149" t="s">
        <v>7746</v>
      </c>
      <c r="L792" s="149" t="s">
        <v>7747</v>
      </c>
      <c r="M792" s="103" t="s">
        <v>4333</v>
      </c>
      <c r="N792" s="103" t="s">
        <v>4345</v>
      </c>
      <c r="O792" s="105">
        <v>46037</v>
      </c>
      <c r="P792" s="105">
        <v>46106</v>
      </c>
      <c r="Q792" s="105" t="s">
        <v>4436</v>
      </c>
      <c r="R792" s="105">
        <v>46106</v>
      </c>
      <c r="S792" s="105">
        <v>46107</v>
      </c>
      <c r="T792" s="105">
        <v>46111</v>
      </c>
      <c r="U792" s="105">
        <v>46087</v>
      </c>
      <c r="V792" s="105" t="s">
        <v>4437</v>
      </c>
      <c r="W792" s="105" t="s">
        <v>4437</v>
      </c>
      <c r="X792" s="105">
        <v>46132</v>
      </c>
      <c r="Y792" s="108">
        <v>46056</v>
      </c>
      <c r="Z792" s="108"/>
      <c r="AA792" s="112"/>
      <c r="AB792" s="149" t="s">
        <v>7745</v>
      </c>
      <c r="AC792" s="149" t="s">
        <v>7746</v>
      </c>
      <c r="AD792" s="149" t="s">
        <v>7747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103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37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784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7748</v>
      </c>
      <c r="G793" s="103" t="s">
        <v>4330</v>
      </c>
      <c r="H793" s="103" t="s">
        <v>4331</v>
      </c>
      <c r="I793" s="142" t="s">
        <v>4343</v>
      </c>
      <c r="J793" s="150" t="s">
        <v>7749</v>
      </c>
      <c r="K793" s="150" t="s">
        <v>7750</v>
      </c>
      <c r="L793" s="150" t="s">
        <v>7751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7749</v>
      </c>
      <c r="AC793" s="150" t="s">
        <v>7750</v>
      </c>
      <c r="AD793" s="150" t="s">
        <v>7751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103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65">
        <v>785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7752</v>
      </c>
      <c r="G794" s="103" t="s">
        <v>4330</v>
      </c>
      <c r="H794" s="103" t="s">
        <v>4331</v>
      </c>
      <c r="I794" s="142" t="s">
        <v>4343</v>
      </c>
      <c r="J794" s="150" t="s">
        <v>7753</v>
      </c>
      <c r="K794" s="150" t="s">
        <v>7754</v>
      </c>
      <c r="L794" s="150" t="s">
        <v>7755</v>
      </c>
      <c r="M794" s="112" t="s">
        <v>4333</v>
      </c>
      <c r="N794" s="103" t="s">
        <v>4345</v>
      </c>
      <c r="O794" s="108"/>
      <c r="P794" s="105">
        <v>46065</v>
      </c>
      <c r="Q794" s="108" t="s">
        <v>4436</v>
      </c>
      <c r="R794" s="105">
        <v>46072</v>
      </c>
      <c r="S794" s="108">
        <v>46072</v>
      </c>
      <c r="T794" s="108">
        <v>46080</v>
      </c>
      <c r="U794" s="105">
        <v>46083</v>
      </c>
      <c r="V794" s="105" t="s">
        <v>4437</v>
      </c>
      <c r="W794" s="105" t="s">
        <v>4437</v>
      </c>
      <c r="X794" s="108">
        <v>46055</v>
      </c>
      <c r="Y794" s="108">
        <v>46091</v>
      </c>
      <c r="Z794" s="108"/>
      <c r="AA794" s="112"/>
      <c r="AB794" s="150" t="s">
        <v>7753</v>
      </c>
      <c r="AC794" s="150" t="s">
        <v>7754</v>
      </c>
      <c r="AD794" s="150" t="s">
        <v>7755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65">
        <v>786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7756</v>
      </c>
      <c r="G795" s="112" t="s">
        <v>4330</v>
      </c>
      <c r="H795" s="112" t="s">
        <v>4331</v>
      </c>
      <c r="I795" s="142" t="s">
        <v>4343</v>
      </c>
      <c r="J795" s="150" t="s">
        <v>7757</v>
      </c>
      <c r="K795" s="150" t="s">
        <v>4457</v>
      </c>
      <c r="L795" s="150" t="s">
        <v>7758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46092</v>
      </c>
      <c r="Z795" s="108"/>
      <c r="AA795" s="112"/>
      <c r="AB795" s="150" t="s">
        <v>7757</v>
      </c>
      <c r="AC795" s="150" t="s">
        <v>4457</v>
      </c>
      <c r="AD795" s="150" t="s">
        <v>7758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787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7759</v>
      </c>
      <c r="G796" s="103" t="s">
        <v>4330</v>
      </c>
      <c r="H796" s="103" t="s">
        <v>4331</v>
      </c>
      <c r="I796" s="142" t="s">
        <v>4343</v>
      </c>
      <c r="J796" s="150" t="s">
        <v>7760</v>
      </c>
      <c r="K796" s="150" t="s">
        <v>7761</v>
      </c>
      <c r="L796" s="150" t="s">
        <v>7762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7760</v>
      </c>
      <c r="AC796" s="150" t="s">
        <v>7761</v>
      </c>
      <c r="AD796" s="150" t="s">
        <v>7762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03">
        <v>788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7763</v>
      </c>
      <c r="G797" s="103" t="s">
        <v>4330</v>
      </c>
      <c r="H797" s="103" t="s">
        <v>4331</v>
      </c>
      <c r="I797" s="142" t="s">
        <v>4343</v>
      </c>
      <c r="J797" s="150" t="s">
        <v>7764</v>
      </c>
      <c r="K797" s="150" t="s">
        <v>7765</v>
      </c>
      <c r="L797" s="150" t="s">
        <v>7766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46091</v>
      </c>
      <c r="Z797" s="108"/>
      <c r="AA797" s="112"/>
      <c r="AB797" s="150" t="s">
        <v>7764</v>
      </c>
      <c r="AC797" s="150" t="s">
        <v>7765</v>
      </c>
      <c r="AD797" s="150" t="s">
        <v>7766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03">
        <v>789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7767</v>
      </c>
      <c r="G798" s="112" t="s">
        <v>4330</v>
      </c>
      <c r="H798" s="112" t="s">
        <v>4331</v>
      </c>
      <c r="I798" s="142" t="s">
        <v>4343</v>
      </c>
      <c r="J798" s="150" t="s">
        <v>7768</v>
      </c>
      <c r="K798" s="150" t="s">
        <v>7769</v>
      </c>
      <c r="L798" s="150" t="s">
        <v>7770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7768</v>
      </c>
      <c r="AC798" s="150" t="s">
        <v>7769</v>
      </c>
      <c r="AD798" s="150" t="s">
        <v>7770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ref="BC798:BC861" si="81">IF(AY798-KD798=0,"",AY798-O798)</f>
        <v/>
      </c>
      <c r="BD798" s="103" t="str">
        <f t="shared" ref="BD798:BD861" si="82">IF(AND(AI798&lt;&gt;"SIM",AI798="UH"),"AA","INDENIZAÇÃO")</f>
        <v>AA</v>
      </c>
      <c r="BE798" s="103" t="str">
        <f t="shared" ref="BE798:BE861" si="83"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790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7771</v>
      </c>
      <c r="G799" s="112" t="s">
        <v>4330</v>
      </c>
      <c r="H799" s="112" t="s">
        <v>4331</v>
      </c>
      <c r="I799" s="142" t="s">
        <v>4343</v>
      </c>
      <c r="J799" s="150" t="s">
        <v>7772</v>
      </c>
      <c r="K799" s="150" t="s">
        <v>7773</v>
      </c>
      <c r="L799" s="150" t="s">
        <v>7774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46092</v>
      </c>
      <c r="Z799" s="108"/>
      <c r="AA799" s="112"/>
      <c r="AB799" s="150" t="s">
        <v>7772</v>
      </c>
      <c r="AC799" s="150" t="s">
        <v>7773</v>
      </c>
      <c r="AD799" s="150" t="s">
        <v>7774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1"/>
        <v/>
      </c>
      <c r="BD799" s="103" t="str">
        <f t="shared" si="82"/>
        <v>AA</v>
      </c>
      <c r="BE799" s="103" t="str">
        <f t="shared" si="8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65">
        <v>791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7775</v>
      </c>
      <c r="G800" s="103" t="s">
        <v>4330</v>
      </c>
      <c r="H800" s="103" t="s">
        <v>4331</v>
      </c>
      <c r="I800" s="142" t="s">
        <v>4343</v>
      </c>
      <c r="J800" s="150" t="s">
        <v>7776</v>
      </c>
      <c r="K800" s="150" t="s">
        <v>7777</v>
      </c>
      <c r="L800" s="150" t="s">
        <v>7778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7776</v>
      </c>
      <c r="AC800" s="150" t="s">
        <v>7777</v>
      </c>
      <c r="AD800" s="150" t="s">
        <v>7778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1"/>
        <v/>
      </c>
      <c r="BD800" s="103" t="str">
        <f t="shared" si="82"/>
        <v>AA</v>
      </c>
      <c r="BE800" s="103" t="str">
        <f t="shared" si="83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65">
        <v>792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7779</v>
      </c>
      <c r="G801" s="112" t="s">
        <v>4330</v>
      </c>
      <c r="H801" s="112" t="s">
        <v>4331</v>
      </c>
      <c r="I801" s="142" t="s">
        <v>4343</v>
      </c>
      <c r="J801" s="150" t="s">
        <v>7780</v>
      </c>
      <c r="K801" s="150" t="s">
        <v>7781</v>
      </c>
      <c r="L801" s="150" t="s">
        <v>7782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7780</v>
      </c>
      <c r="AC801" s="150" t="s">
        <v>7781</v>
      </c>
      <c r="AD801" s="150" t="s">
        <v>7782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793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7783</v>
      </c>
      <c r="G802" s="103" t="s">
        <v>4330</v>
      </c>
      <c r="H802" s="103" t="s">
        <v>4331</v>
      </c>
      <c r="I802" s="142" t="s">
        <v>4343</v>
      </c>
      <c r="J802" s="150" t="s">
        <v>7784</v>
      </c>
      <c r="K802" s="150" t="s">
        <v>7785</v>
      </c>
      <c r="L802" s="150" t="s">
        <v>7786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46101</v>
      </c>
      <c r="Z802" s="108"/>
      <c r="AA802" s="112"/>
      <c r="AB802" s="150" t="s">
        <v>7784</v>
      </c>
      <c r="AC802" s="150" t="s">
        <v>7785</v>
      </c>
      <c r="AD802" s="150" t="s">
        <v>7786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03">
        <v>794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7787</v>
      </c>
      <c r="G803" s="112" t="s">
        <v>4330</v>
      </c>
      <c r="H803" s="112" t="s">
        <v>4331</v>
      </c>
      <c r="I803" s="142" t="s">
        <v>4343</v>
      </c>
      <c r="J803" s="150" t="s">
        <v>7788</v>
      </c>
      <c r="K803" s="150" t="s">
        <v>7789</v>
      </c>
      <c r="L803" s="150" t="s">
        <v>7790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7788</v>
      </c>
      <c r="AC803" s="150" t="s">
        <v>7789</v>
      </c>
      <c r="AD803" s="150" t="s">
        <v>7790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03">
        <v>795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7791</v>
      </c>
      <c r="G804" s="103" t="s">
        <v>4330</v>
      </c>
      <c r="H804" s="103" t="s">
        <v>4331</v>
      </c>
      <c r="I804" s="142" t="s">
        <v>4343</v>
      </c>
      <c r="J804" s="150" t="s">
        <v>7792</v>
      </c>
      <c r="K804" s="150" t="s">
        <v>4457</v>
      </c>
      <c r="L804" s="150" t="s">
        <v>7793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46091</v>
      </c>
      <c r="Z804" s="108"/>
      <c r="AA804" s="112"/>
      <c r="AB804" s="150" t="s">
        <v>7792</v>
      </c>
      <c r="AC804" s="150" t="s">
        <v>4457</v>
      </c>
      <c r="AD804" s="150" t="s">
        <v>7793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796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7794</v>
      </c>
      <c r="G805" s="103" t="s">
        <v>4330</v>
      </c>
      <c r="H805" s="103" t="s">
        <v>4331</v>
      </c>
      <c r="I805" s="142" t="s">
        <v>4343</v>
      </c>
      <c r="J805" s="149" t="s">
        <v>7795</v>
      </c>
      <c r="K805" s="149" t="s">
        <v>4432</v>
      </c>
      <c r="L805" s="149" t="s">
        <v>7796</v>
      </c>
      <c r="M805" s="103" t="s">
        <v>4333</v>
      </c>
      <c r="N805" s="103" t="s">
        <v>4334</v>
      </c>
      <c r="O805" s="105">
        <v>46129</v>
      </c>
      <c r="P805" s="105" t="s">
        <v>4356</v>
      </c>
      <c r="Q805" s="105" t="s">
        <v>4356</v>
      </c>
      <c r="R805" s="105" t="s">
        <v>4356</v>
      </c>
      <c r="S805" s="105" t="s">
        <v>4356</v>
      </c>
      <c r="T805" s="105" t="s">
        <v>4356</v>
      </c>
      <c r="U805" s="105" t="s">
        <v>4356</v>
      </c>
      <c r="V805" s="105" t="s">
        <v>4356</v>
      </c>
      <c r="W805" s="105" t="s">
        <v>4356</v>
      </c>
      <c r="X805" s="105" t="s">
        <v>4356</v>
      </c>
      <c r="Y805" s="105" t="s">
        <v>4356</v>
      </c>
      <c r="Z805" s="105"/>
      <c r="AA805" s="105"/>
      <c r="AB805" s="149" t="s">
        <v>7795</v>
      </c>
      <c r="AC805" s="149" t="s">
        <v>4432</v>
      </c>
      <c r="AD805" s="149" t="s">
        <v>7796</v>
      </c>
      <c r="AE805" s="103" t="s">
        <v>4343</v>
      </c>
      <c r="AF805" s="142" t="s">
        <v>4333</v>
      </c>
      <c r="AG805" s="194">
        <v>4763.37</v>
      </c>
      <c r="AH805" s="194">
        <v>34763.370000000003</v>
      </c>
      <c r="AI805" s="103" t="s">
        <v>4336</v>
      </c>
      <c r="AJ805" s="104" t="s">
        <v>4438</v>
      </c>
      <c r="AK805" s="103">
        <v>153982716</v>
      </c>
      <c r="AL805" s="103" t="s">
        <v>4338</v>
      </c>
      <c r="AM805" s="103" t="s">
        <v>4338</v>
      </c>
      <c r="AN805" s="103" t="s">
        <v>4339</v>
      </c>
      <c r="AO805" s="103"/>
      <c r="AP805" s="277" t="s">
        <v>7797</v>
      </c>
      <c r="AQ805" s="143" t="s">
        <v>4338</v>
      </c>
      <c r="AR805" s="103" t="s">
        <v>4338</v>
      </c>
      <c r="AS805" s="103" t="s">
        <v>4338</v>
      </c>
      <c r="AT805" s="112" t="s">
        <v>4338</v>
      </c>
      <c r="AU805" s="105">
        <v>46226</v>
      </c>
      <c r="AV805" s="112" t="s">
        <v>4338</v>
      </c>
      <c r="AW805" s="109" t="s">
        <v>4453</v>
      </c>
      <c r="AX805" s="106"/>
      <c r="AY805" s="106"/>
      <c r="AZ805" s="106"/>
      <c r="BA805" s="107" t="s">
        <v>4330</v>
      </c>
      <c r="BB805" s="112"/>
      <c r="BC805" s="220" t="str">
        <f t="shared" si="81"/>
        <v/>
      </c>
      <c r="BD805" s="103" t="str">
        <f t="shared" si="82"/>
        <v>INDENIZAÇÃO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65">
        <v>797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7798</v>
      </c>
      <c r="G806" s="112" t="s">
        <v>4330</v>
      </c>
      <c r="H806" s="112" t="s">
        <v>4331</v>
      </c>
      <c r="I806" s="142" t="s">
        <v>4343</v>
      </c>
      <c r="J806" s="150" t="s">
        <v>7799</v>
      </c>
      <c r="K806" s="141" t="s">
        <v>7800</v>
      </c>
      <c r="L806" s="141" t="s">
        <v>7801</v>
      </c>
      <c r="M806" s="112" t="s">
        <v>4333</v>
      </c>
      <c r="N806" s="112" t="s">
        <v>4334</v>
      </c>
      <c r="O806" s="108">
        <v>46129</v>
      </c>
      <c r="P806" s="105" t="s">
        <v>4356</v>
      </c>
      <c r="Q806" s="105" t="s">
        <v>4356</v>
      </c>
      <c r="R806" s="105" t="s">
        <v>4356</v>
      </c>
      <c r="S806" s="105" t="s">
        <v>4356</v>
      </c>
      <c r="T806" s="105" t="s">
        <v>4356</v>
      </c>
      <c r="U806" s="105" t="s">
        <v>4356</v>
      </c>
      <c r="V806" s="105" t="s">
        <v>4356</v>
      </c>
      <c r="W806" s="105" t="s">
        <v>4356</v>
      </c>
      <c r="X806" s="105" t="s">
        <v>4356</v>
      </c>
      <c r="Y806" s="105" t="s">
        <v>4356</v>
      </c>
      <c r="Z806" s="105"/>
      <c r="AA806" s="105"/>
      <c r="AB806" s="150" t="s">
        <v>7799</v>
      </c>
      <c r="AC806" s="141" t="s">
        <v>7800</v>
      </c>
      <c r="AD806" s="141" t="s">
        <v>7801</v>
      </c>
      <c r="AE806" s="103" t="s">
        <v>4343</v>
      </c>
      <c r="AF806" s="112" t="s">
        <v>4333</v>
      </c>
      <c r="AG806" s="194">
        <v>2809.84</v>
      </c>
      <c r="AH806" s="194">
        <v>32809.839999999997</v>
      </c>
      <c r="AI806" s="103" t="s">
        <v>4336</v>
      </c>
      <c r="AJ806" s="104" t="s">
        <v>4438</v>
      </c>
      <c r="AK806" s="103">
        <v>153982826</v>
      </c>
      <c r="AL806" s="103" t="s">
        <v>4338</v>
      </c>
      <c r="AM806" s="103" t="s">
        <v>4338</v>
      </c>
      <c r="AN806" s="103" t="s">
        <v>4339</v>
      </c>
      <c r="AO806" s="112"/>
      <c r="AP806" s="277" t="s">
        <v>7802</v>
      </c>
      <c r="AQ806" s="143" t="s">
        <v>4338</v>
      </c>
      <c r="AR806" s="103" t="s">
        <v>4338</v>
      </c>
      <c r="AS806" s="103" t="s">
        <v>4338</v>
      </c>
      <c r="AT806" s="112" t="s">
        <v>4338</v>
      </c>
      <c r="AU806" s="105">
        <v>46226</v>
      </c>
      <c r="AV806" s="112" t="s">
        <v>4338</v>
      </c>
      <c r="AW806" s="109" t="s">
        <v>4453</v>
      </c>
      <c r="AX806" s="106"/>
      <c r="AY806" s="106"/>
      <c r="AZ806" s="106"/>
      <c r="BA806" s="107" t="s">
        <v>4330</v>
      </c>
      <c r="BB806" s="112"/>
      <c r="BC806" s="220" t="str">
        <f t="shared" si="81"/>
        <v/>
      </c>
      <c r="BD806" s="103" t="str">
        <f t="shared" si="82"/>
        <v>INDENIZAÇÃO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65">
        <v>798</v>
      </c>
      <c r="B807" s="112"/>
      <c r="C807" s="112"/>
      <c r="D807" s="112"/>
      <c r="E807" s="112"/>
      <c r="F807" s="104"/>
      <c r="G807" s="112"/>
      <c r="H807" s="112"/>
      <c r="I807" s="153"/>
      <c r="J807" s="150"/>
      <c r="K807" s="141"/>
      <c r="L807" s="141"/>
      <c r="M807" s="112"/>
      <c r="N807" s="112"/>
      <c r="O807" s="108"/>
      <c r="P807" s="108"/>
      <c r="Q807" s="108"/>
      <c r="R807" s="108"/>
      <c r="S807" s="108"/>
      <c r="T807" s="108"/>
      <c r="U807" s="108"/>
      <c r="V807" s="108"/>
      <c r="W807" s="108"/>
      <c r="X807" s="155"/>
      <c r="Y807" s="108"/>
      <c r="Z807" s="108"/>
      <c r="AA807" s="112"/>
      <c r="AB807" s="150"/>
      <c r="AC807" s="141"/>
      <c r="AD807" s="141"/>
      <c r="AE807" s="153"/>
      <c r="AF807" s="112"/>
      <c r="AG807" s="194"/>
      <c r="AH807" s="194"/>
      <c r="AI807" s="103"/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1"/>
        <v/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799</v>
      </c>
      <c r="B808" s="112"/>
      <c r="C808" s="112"/>
      <c r="D808" s="112"/>
      <c r="E808" s="112"/>
      <c r="F808" s="104"/>
      <c r="G808" s="112"/>
      <c r="H808" s="112"/>
      <c r="I808" s="153"/>
      <c r="J808" s="150"/>
      <c r="K808" s="141"/>
      <c r="L808" s="141"/>
      <c r="M808" s="112"/>
      <c r="N808" s="112"/>
      <c r="O808" s="108"/>
      <c r="P808" s="108"/>
      <c r="Q808" s="108"/>
      <c r="R808" s="108"/>
      <c r="S808" s="108"/>
      <c r="T808" s="108"/>
      <c r="U808" s="108"/>
      <c r="V808" s="108"/>
      <c r="W808" s="108"/>
      <c r="X808" s="155"/>
      <c r="Y808" s="108"/>
      <c r="Z808" s="108"/>
      <c r="AA808" s="112"/>
      <c r="AB808" s="150"/>
      <c r="AC808" s="141"/>
      <c r="AD808" s="141"/>
      <c r="AE808" s="153"/>
      <c r="AF808" s="112"/>
      <c r="AG808" s="194"/>
      <c r="AH808" s="194"/>
      <c r="AI808" s="103"/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1"/>
        <v/>
      </c>
      <c r="BD808" s="103" t="str">
        <f t="shared" si="82"/>
        <v>INDENIZAÇÃO</v>
      </c>
      <c r="BE808" s="103" t="str">
        <f t="shared" si="83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customHeight="1">
      <c r="A809" s="103">
        <v>800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1"/>
        <v/>
      </c>
      <c r="BD809" s="103" t="str">
        <f t="shared" si="82"/>
        <v>INDENIZAÇÃO</v>
      </c>
      <c r="BE809" s="103" t="str">
        <f t="shared" si="83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03">
        <v>801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1"/>
        <v/>
      </c>
      <c r="BD810" s="103" t="str">
        <f t="shared" si="82"/>
        <v>INDENIZAÇÃO</v>
      </c>
      <c r="BE810" s="103" t="str">
        <f t="shared" si="83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802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1"/>
        <v/>
      </c>
      <c r="BD811" s="103" t="str">
        <f t="shared" si="82"/>
        <v>INDENIZAÇÃO</v>
      </c>
      <c r="BE811" s="103" t="str">
        <f t="shared" si="83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65">
        <v>803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1"/>
        <v/>
      </c>
      <c r="BD812" s="103" t="str">
        <f t="shared" si="82"/>
        <v>INDENIZAÇÃO</v>
      </c>
      <c r="BE812" s="103" t="str">
        <f t="shared" si="83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65">
        <v>804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1"/>
        <v/>
      </c>
      <c r="BD813" s="103" t="str">
        <f t="shared" si="82"/>
        <v>INDENIZAÇÃO</v>
      </c>
      <c r="BE813" s="103" t="str">
        <f t="shared" si="83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805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1"/>
        <v/>
      </c>
      <c r="BD814" s="103" t="str">
        <f t="shared" si="82"/>
        <v>INDENIZAÇÃO</v>
      </c>
      <c r="BE814" s="103" t="str">
        <f t="shared" si="83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03">
        <v>806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1"/>
        <v/>
      </c>
      <c r="BD815" s="103" t="str">
        <f t="shared" si="82"/>
        <v>INDENIZAÇÃO</v>
      </c>
      <c r="BE815" s="103" t="str">
        <f t="shared" si="83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03">
        <v>807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1"/>
        <v/>
      </c>
      <c r="BD816" s="103" t="str">
        <f t="shared" si="82"/>
        <v>INDENIZAÇÃO</v>
      </c>
      <c r="BE816" s="103" t="str">
        <f t="shared" si="83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808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1"/>
        <v/>
      </c>
      <c r="BD817" s="103" t="str">
        <f t="shared" si="82"/>
        <v>INDENIZAÇÃO</v>
      </c>
      <c r="BE817" s="103" t="str">
        <f t="shared" si="83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65">
        <v>809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1"/>
        <v/>
      </c>
      <c r="BD818" s="103" t="str">
        <f t="shared" si="82"/>
        <v>INDENIZAÇÃO</v>
      </c>
      <c r="BE818" s="103" t="str">
        <f t="shared" si="83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65">
        <v>810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1"/>
        <v/>
      </c>
      <c r="BD819" s="103" t="str">
        <f t="shared" si="82"/>
        <v>INDENIZAÇÃO</v>
      </c>
      <c r="BE819" s="103" t="str">
        <f t="shared" si="83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811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1"/>
        <v/>
      </c>
      <c r="BD820" s="103" t="str">
        <f t="shared" si="82"/>
        <v>INDENIZAÇÃO</v>
      </c>
      <c r="BE820" s="103" t="str">
        <f t="shared" si="83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03">
        <v>812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1"/>
        <v/>
      </c>
      <c r="BD821" s="103" t="str">
        <f t="shared" si="82"/>
        <v>INDENIZAÇÃO</v>
      </c>
      <c r="BE821" s="103" t="str">
        <f t="shared" si="83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03">
        <v>813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1"/>
        <v/>
      </c>
      <c r="BD822" s="103" t="str">
        <f t="shared" si="82"/>
        <v>INDENIZAÇÃO</v>
      </c>
      <c r="BE822" s="103" t="str">
        <f t="shared" si="83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814</v>
      </c>
      <c r="J823" s="148"/>
      <c r="O823" s="101"/>
      <c r="Z823" s="101"/>
      <c r="AG823" s="194"/>
      <c r="AH823" s="194"/>
      <c r="AI823" s="165"/>
      <c r="AJ823" s="173" t="s">
        <v>4438</v>
      </c>
      <c r="AK823" s="165"/>
      <c r="AL823" s="165"/>
      <c r="AM823" s="165"/>
      <c r="AN823" s="165"/>
      <c r="AP823" s="171"/>
      <c r="AY823" s="166"/>
      <c r="BC823" s="220" t="str">
        <f t="shared" si="81"/>
        <v/>
      </c>
      <c r="BD823" s="103" t="str">
        <f t="shared" si="82"/>
        <v>INDENIZAÇÃO</v>
      </c>
      <c r="BE823" s="103" t="str">
        <f t="shared" si="83"/>
        <v>NÃO</v>
      </c>
    </row>
    <row r="824" spans="1:65" ht="30" customHeight="1">
      <c r="A824" s="165">
        <v>815</v>
      </c>
      <c r="J824" s="148"/>
      <c r="O824" s="101"/>
      <c r="Z824" s="101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P824" s="171"/>
      <c r="AY824" s="166"/>
      <c r="BC824" s="220" t="str">
        <f t="shared" si="81"/>
        <v/>
      </c>
      <c r="BD824" s="103" t="str">
        <f t="shared" si="82"/>
        <v>INDENIZAÇÃO</v>
      </c>
      <c r="BE824" s="103" t="str">
        <f t="shared" si="83"/>
        <v>NÃO</v>
      </c>
    </row>
    <row r="825" spans="1:65" ht="30" customHeight="1">
      <c r="A825" s="165">
        <v>816</v>
      </c>
      <c r="J825" s="148"/>
      <c r="O825" s="101"/>
      <c r="Z825" s="101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P825" s="171"/>
      <c r="AY825" s="166"/>
      <c r="BC825" s="220" t="str">
        <f t="shared" si="81"/>
        <v/>
      </c>
      <c r="BD825" s="103" t="str">
        <f t="shared" si="82"/>
        <v>INDENIZAÇÃO</v>
      </c>
      <c r="BE825" s="103" t="str">
        <f t="shared" si="83"/>
        <v>NÃO</v>
      </c>
    </row>
    <row r="826" spans="1:65" ht="30" customHeight="1">
      <c r="A826" s="165">
        <v>817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1"/>
        <v/>
      </c>
      <c r="BD826" s="103" t="str">
        <f t="shared" si="82"/>
        <v>INDENIZAÇÃO</v>
      </c>
      <c r="BE826" s="103" t="str">
        <f t="shared" si="83"/>
        <v>NÃO</v>
      </c>
    </row>
    <row r="827" spans="1:65" ht="30" customHeight="1">
      <c r="A827" s="103">
        <v>818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1"/>
        <v/>
      </c>
      <c r="BD827" s="103" t="str">
        <f t="shared" si="82"/>
        <v>INDENIZAÇÃO</v>
      </c>
      <c r="BE827" s="103" t="str">
        <f t="shared" si="83"/>
        <v>NÃO</v>
      </c>
    </row>
    <row r="828" spans="1:65" ht="30" customHeight="1">
      <c r="A828" s="103">
        <v>819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1"/>
        <v/>
      </c>
      <c r="BD828" s="103" t="str">
        <f t="shared" si="82"/>
        <v>INDENIZAÇÃO</v>
      </c>
      <c r="BE828" s="103" t="str">
        <f t="shared" si="83"/>
        <v>NÃO</v>
      </c>
    </row>
    <row r="829" spans="1:65" ht="30" customHeight="1">
      <c r="A829" s="103">
        <v>820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1"/>
        <v/>
      </c>
      <c r="BD829" s="103" t="str">
        <f t="shared" si="82"/>
        <v>INDENIZAÇÃO</v>
      </c>
      <c r="BE829" s="103" t="str">
        <f t="shared" si="83"/>
        <v>NÃO</v>
      </c>
    </row>
    <row r="830" spans="1:65" ht="30" customHeight="1">
      <c r="A830" s="165">
        <v>821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1"/>
        <v/>
      </c>
      <c r="BD830" s="103" t="str">
        <f t="shared" si="82"/>
        <v>INDENIZAÇÃO</v>
      </c>
      <c r="BE830" s="103" t="str">
        <f t="shared" si="83"/>
        <v>NÃO</v>
      </c>
    </row>
    <row r="831" spans="1:65" ht="30" customHeight="1">
      <c r="A831" s="165">
        <v>822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1"/>
        <v/>
      </c>
      <c r="BD831" s="103" t="str">
        <f t="shared" si="82"/>
        <v>INDENIZAÇÃO</v>
      </c>
      <c r="BE831" s="103" t="str">
        <f t="shared" si="83"/>
        <v>NÃO</v>
      </c>
    </row>
    <row r="832" spans="1:65" ht="30" customHeight="1">
      <c r="A832" s="165">
        <v>823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1"/>
        <v/>
      </c>
      <c r="BD832" s="103" t="str">
        <f t="shared" si="82"/>
        <v>INDENIZAÇÃO</v>
      </c>
      <c r="BE832" s="103" t="str">
        <f t="shared" si="83"/>
        <v>NÃO</v>
      </c>
    </row>
    <row r="833" spans="1:57" ht="30" customHeight="1">
      <c r="A833" s="103">
        <v>824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1"/>
        <v/>
      </c>
      <c r="BD833" s="103" t="str">
        <f t="shared" si="82"/>
        <v>INDENIZAÇÃO</v>
      </c>
      <c r="BE833" s="103" t="str">
        <f t="shared" si="83"/>
        <v>NÃO</v>
      </c>
    </row>
    <row r="834" spans="1:57" ht="30" customHeight="1">
      <c r="A834" s="103">
        <v>825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1"/>
        <v/>
      </c>
      <c r="BD834" s="103" t="str">
        <f t="shared" si="82"/>
        <v>INDENIZAÇÃO</v>
      </c>
      <c r="BE834" s="103" t="str">
        <f t="shared" si="83"/>
        <v>NÃO</v>
      </c>
    </row>
    <row r="835" spans="1:57" ht="30" customHeight="1">
      <c r="A835" s="103">
        <v>826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1"/>
        <v/>
      </c>
      <c r="BD835" s="103" t="str">
        <f t="shared" si="82"/>
        <v>INDENIZAÇÃO</v>
      </c>
      <c r="BE835" s="103" t="str">
        <f t="shared" si="83"/>
        <v>NÃO</v>
      </c>
    </row>
    <row r="836" spans="1:57" ht="30" customHeight="1">
      <c r="A836" s="165">
        <v>827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1"/>
        <v/>
      </c>
      <c r="BD836" s="103" t="str">
        <f t="shared" si="82"/>
        <v>INDENIZAÇÃO</v>
      </c>
      <c r="BE836" s="103" t="str">
        <f t="shared" si="83"/>
        <v>NÃO</v>
      </c>
    </row>
    <row r="837" spans="1:57" ht="30" customHeight="1">
      <c r="A837" s="165">
        <v>828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1"/>
        <v/>
      </c>
      <c r="BD837" s="103" t="str">
        <f t="shared" si="82"/>
        <v>INDENIZAÇÃO</v>
      </c>
      <c r="BE837" s="103" t="str">
        <f t="shared" si="83"/>
        <v>NÃO</v>
      </c>
    </row>
    <row r="838" spans="1:57" ht="30" customHeight="1">
      <c r="A838" s="165">
        <v>829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1"/>
        <v/>
      </c>
      <c r="BD838" s="103" t="str">
        <f t="shared" si="82"/>
        <v>INDENIZAÇÃO</v>
      </c>
      <c r="BE838" s="103" t="str">
        <f t="shared" si="83"/>
        <v>NÃO</v>
      </c>
    </row>
    <row r="839" spans="1:57" ht="30" customHeight="1">
      <c r="A839" s="103">
        <v>830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1"/>
        <v/>
      </c>
      <c r="BD839" s="103" t="str">
        <f t="shared" si="82"/>
        <v>INDENIZAÇÃO</v>
      </c>
      <c r="BE839" s="103" t="str">
        <f t="shared" si="83"/>
        <v>NÃO</v>
      </c>
    </row>
    <row r="840" spans="1:57" ht="30" customHeight="1">
      <c r="A840" s="103">
        <v>831</v>
      </c>
      <c r="J840" s="148"/>
      <c r="O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1"/>
        <v/>
      </c>
      <c r="BD840" s="103" t="str">
        <f t="shared" si="82"/>
        <v>INDENIZAÇÃO</v>
      </c>
      <c r="BE840" s="103" t="str">
        <f t="shared" si="83"/>
        <v>NÃO</v>
      </c>
    </row>
    <row r="841" spans="1:57" ht="30" customHeight="1">
      <c r="A841" s="103">
        <v>832</v>
      </c>
      <c r="J841" s="148"/>
      <c r="O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1"/>
        <v/>
      </c>
      <c r="BD841" s="103" t="str">
        <f t="shared" si="82"/>
        <v>INDENIZAÇÃO</v>
      </c>
      <c r="BE841" s="103" t="str">
        <f t="shared" si="83"/>
        <v>NÃO</v>
      </c>
    </row>
    <row r="842" spans="1:57" ht="30" customHeight="1">
      <c r="A842" s="165">
        <v>833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1"/>
        <v/>
      </c>
      <c r="BD842" s="103" t="str">
        <f t="shared" si="82"/>
        <v>INDENIZAÇÃO</v>
      </c>
      <c r="BE842" s="103" t="str">
        <f t="shared" si="83"/>
        <v>NÃO</v>
      </c>
    </row>
    <row r="843" spans="1:57" ht="30" customHeight="1">
      <c r="A843" s="165">
        <v>834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1"/>
        <v/>
      </c>
      <c r="BD843" s="103" t="str">
        <f t="shared" si="82"/>
        <v>INDENIZAÇÃO</v>
      </c>
      <c r="BE843" s="103" t="str">
        <f t="shared" si="83"/>
        <v>NÃO</v>
      </c>
    </row>
    <row r="844" spans="1:57" ht="30" customHeight="1">
      <c r="A844" s="165">
        <v>835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1"/>
        <v/>
      </c>
      <c r="BD844" s="103" t="str">
        <f t="shared" si="82"/>
        <v>INDENIZAÇÃO</v>
      </c>
      <c r="BE844" s="103" t="str">
        <f t="shared" si="83"/>
        <v>NÃO</v>
      </c>
    </row>
    <row r="845" spans="1:57" ht="30" customHeight="1">
      <c r="A845" s="103">
        <v>836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1"/>
        <v/>
      </c>
      <c r="BD845" s="103" t="str">
        <f t="shared" si="82"/>
        <v>INDENIZAÇÃO</v>
      </c>
      <c r="BE845" s="103" t="str">
        <f t="shared" si="83"/>
        <v>NÃO</v>
      </c>
    </row>
    <row r="846" spans="1:57" ht="30" customHeight="1">
      <c r="A846" s="103">
        <v>837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1"/>
        <v/>
      </c>
      <c r="BD846" s="103" t="str">
        <f t="shared" si="82"/>
        <v>INDENIZAÇÃO</v>
      </c>
      <c r="BE846" s="103" t="str">
        <f t="shared" si="83"/>
        <v>NÃO</v>
      </c>
    </row>
    <row r="847" spans="1:57" ht="30" customHeight="1">
      <c r="A847" s="103">
        <v>838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1"/>
        <v/>
      </c>
      <c r="BD847" s="103" t="str">
        <f t="shared" si="82"/>
        <v>INDENIZAÇÃO</v>
      </c>
      <c r="BE847" s="103" t="str">
        <f t="shared" si="83"/>
        <v>NÃO</v>
      </c>
    </row>
    <row r="848" spans="1:57" ht="30" customHeight="1">
      <c r="A848" s="165">
        <v>839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1"/>
        <v/>
      </c>
      <c r="BD848" s="103" t="str">
        <f t="shared" si="82"/>
        <v>INDENIZAÇÃO</v>
      </c>
      <c r="BE848" s="103" t="str">
        <f t="shared" si="83"/>
        <v>NÃO</v>
      </c>
    </row>
    <row r="849" spans="1:57" ht="30" customHeight="1">
      <c r="A849" s="165">
        <v>840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1"/>
        <v/>
      </c>
      <c r="BD849" s="103" t="str">
        <f t="shared" si="82"/>
        <v>INDENIZAÇÃO</v>
      </c>
      <c r="BE849" s="103" t="str">
        <f t="shared" si="83"/>
        <v>NÃO</v>
      </c>
    </row>
    <row r="850" spans="1:57" ht="30" customHeight="1">
      <c r="A850" s="165">
        <v>841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1"/>
        <v/>
      </c>
      <c r="BD850" s="103" t="str">
        <f t="shared" si="82"/>
        <v>INDENIZAÇÃO</v>
      </c>
      <c r="BE850" s="103" t="str">
        <f t="shared" si="83"/>
        <v>NÃO</v>
      </c>
    </row>
    <row r="851" spans="1:57" ht="30" customHeight="1">
      <c r="A851" s="103">
        <v>842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1"/>
        <v/>
      </c>
      <c r="BD851" s="103" t="str">
        <f t="shared" si="82"/>
        <v>INDENIZAÇÃO</v>
      </c>
      <c r="BE851" s="103" t="str">
        <f t="shared" si="83"/>
        <v>NÃO</v>
      </c>
    </row>
    <row r="852" spans="1:57" ht="30" customHeight="1">
      <c r="A852" s="103">
        <v>843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1"/>
        <v/>
      </c>
      <c r="BD852" s="103" t="str">
        <f t="shared" si="82"/>
        <v>INDENIZAÇÃO</v>
      </c>
      <c r="BE852" s="103" t="str">
        <f t="shared" si="83"/>
        <v>NÃO</v>
      </c>
    </row>
    <row r="853" spans="1:57" ht="30" customHeight="1">
      <c r="A853" s="103">
        <v>844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1"/>
        <v/>
      </c>
      <c r="BD853" s="103" t="str">
        <f t="shared" si="82"/>
        <v>INDENIZAÇÃO</v>
      </c>
      <c r="BE853" s="103" t="str">
        <f t="shared" si="83"/>
        <v>NÃO</v>
      </c>
    </row>
    <row r="854" spans="1:57" ht="30" customHeight="1">
      <c r="A854" s="165">
        <v>845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1"/>
        <v/>
      </c>
      <c r="BD854" s="103" t="str">
        <f t="shared" si="82"/>
        <v>INDENIZAÇÃO</v>
      </c>
      <c r="BE854" s="103" t="str">
        <f t="shared" si="83"/>
        <v>NÃO</v>
      </c>
    </row>
    <row r="855" spans="1:57" ht="30" customHeight="1">
      <c r="A855" s="165">
        <v>846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1"/>
        <v/>
      </c>
      <c r="BD855" s="103" t="str">
        <f t="shared" si="82"/>
        <v>INDENIZAÇÃO</v>
      </c>
      <c r="BE855" s="103" t="str">
        <f t="shared" si="83"/>
        <v>NÃO</v>
      </c>
    </row>
    <row r="856" spans="1:57" ht="30" customHeight="1">
      <c r="A856" s="165">
        <v>847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1"/>
        <v/>
      </c>
      <c r="BD856" s="103" t="str">
        <f t="shared" si="82"/>
        <v>INDENIZAÇÃO</v>
      </c>
      <c r="BE856" s="103" t="str">
        <f t="shared" si="83"/>
        <v>NÃO</v>
      </c>
    </row>
    <row r="857" spans="1:57" ht="30" customHeight="1">
      <c r="A857" s="103">
        <v>848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1"/>
        <v/>
      </c>
      <c r="BD857" s="103" t="str">
        <f t="shared" si="82"/>
        <v>INDENIZAÇÃO</v>
      </c>
      <c r="BE857" s="103" t="str">
        <f t="shared" si="83"/>
        <v>NÃO</v>
      </c>
    </row>
    <row r="858" spans="1:57" ht="30" customHeight="1">
      <c r="A858" s="103">
        <v>849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1"/>
        <v/>
      </c>
      <c r="BD858" s="103" t="str">
        <f t="shared" si="82"/>
        <v>INDENIZAÇÃO</v>
      </c>
      <c r="BE858" s="103" t="str">
        <f t="shared" si="83"/>
        <v>NÃO</v>
      </c>
    </row>
    <row r="859" spans="1:57" ht="30" customHeight="1">
      <c r="A859" s="103">
        <v>850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1"/>
        <v/>
      </c>
      <c r="BD859" s="103" t="str">
        <f t="shared" si="82"/>
        <v>INDENIZAÇÃO</v>
      </c>
      <c r="BE859" s="103" t="str">
        <f t="shared" si="83"/>
        <v>NÃO</v>
      </c>
    </row>
    <row r="860" spans="1:57" ht="30" customHeight="1">
      <c r="A860" s="165">
        <v>851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1"/>
        <v/>
      </c>
      <c r="BD860" s="103" t="str">
        <f t="shared" si="82"/>
        <v>INDENIZAÇÃO</v>
      </c>
      <c r="BE860" s="103" t="str">
        <f t="shared" si="83"/>
        <v>NÃO</v>
      </c>
    </row>
    <row r="861" spans="1:57" ht="30" customHeight="1">
      <c r="A861" s="165">
        <v>852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1"/>
        <v/>
      </c>
      <c r="BD861" s="103" t="str">
        <f t="shared" si="82"/>
        <v>INDENIZAÇÃO</v>
      </c>
      <c r="BE861" s="103" t="str">
        <f t="shared" si="83"/>
        <v>NÃO</v>
      </c>
    </row>
    <row r="862" spans="1:57" ht="30" customHeight="1">
      <c r="A862" s="165">
        <v>853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ref="BC862:BC867" si="84">IF(AY862-KD862=0,"",AY862-O862)</f>
        <v/>
      </c>
      <c r="BD862" s="103" t="str">
        <f t="shared" ref="BD862:BD867" si="85">IF(AND(AI862&lt;&gt;"SIM",AI862="UH"),"AA","INDENIZAÇÃO")</f>
        <v>INDENIZAÇÃO</v>
      </c>
      <c r="BE862" s="103" t="str">
        <f t="shared" ref="BE862:BE867" si="86">IF(AND(AY862&lt;&gt;"AGUARDANDO",AY862&lt;&gt;"",N862="AUXÍLIO ALUGUEL ATÉ INDENIZAÇÃO"),"SIM","NÃO")</f>
        <v>NÃO</v>
      </c>
    </row>
    <row r="863" spans="1:57" ht="30" customHeight="1">
      <c r="A863" s="103">
        <v>854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customHeight="1">
      <c r="A864" s="103">
        <v>855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84"/>
        <v/>
      </c>
      <c r="BD864" s="103" t="str">
        <f t="shared" si="85"/>
        <v>INDENIZAÇÃO</v>
      </c>
      <c r="BE864" s="103" t="str">
        <f t="shared" si="86"/>
        <v>NÃO</v>
      </c>
    </row>
    <row r="865" spans="1:57" ht="30" customHeight="1">
      <c r="A865" s="103">
        <v>856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4"/>
        <v/>
      </c>
      <c r="BD865" s="103" t="str">
        <f t="shared" si="85"/>
        <v>INDENIZAÇÃO</v>
      </c>
      <c r="BE865" s="103" t="str">
        <f t="shared" si="86"/>
        <v>NÃO</v>
      </c>
    </row>
    <row r="866" spans="1:57" ht="30" customHeight="1">
      <c r="A866" s="165">
        <v>857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4"/>
        <v/>
      </c>
      <c r="BD866" s="103" t="str">
        <f t="shared" si="85"/>
        <v>INDENIZAÇÃO</v>
      </c>
      <c r="BE866" s="103" t="str">
        <f t="shared" si="86"/>
        <v>NÃO</v>
      </c>
    </row>
    <row r="867" spans="1:57" ht="30" customHeight="1">
      <c r="A867" s="165">
        <v>858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4"/>
        <v/>
      </c>
      <c r="BD867" s="103" t="str">
        <f t="shared" si="85"/>
        <v>INDENIZAÇÃO</v>
      </c>
      <c r="BE867" s="103" t="str">
        <f t="shared" si="86"/>
        <v>NÃO</v>
      </c>
    </row>
    <row r="868" spans="1:57" ht="30" customHeight="1">
      <c r="A868" s="165">
        <v>859</v>
      </c>
      <c r="AG868" s="194"/>
      <c r="AH868" s="194"/>
      <c r="AP868" s="171"/>
      <c r="AX868" s="167"/>
      <c r="AY868" s="166"/>
    </row>
    <row r="869" spans="1:57" ht="30" customHeight="1">
      <c r="A869" s="103">
        <v>860</v>
      </c>
      <c r="AG869" s="194"/>
      <c r="AH869" s="194"/>
      <c r="AP869" s="171"/>
      <c r="AX869" s="167"/>
      <c r="AY869" s="166"/>
    </row>
    <row r="870" spans="1:57" ht="30" customHeight="1">
      <c r="A870" s="103">
        <v>861</v>
      </c>
      <c r="AP870" s="171"/>
      <c r="AX870" s="167"/>
      <c r="AY870" s="166"/>
    </row>
    <row r="871" spans="1:57" ht="30" customHeight="1">
      <c r="A871" s="103">
        <v>862</v>
      </c>
      <c r="AP871" s="171"/>
      <c r="AX871" s="167"/>
      <c r="AY871" s="166"/>
    </row>
    <row r="872" spans="1:57" ht="30" customHeight="1">
      <c r="A872" s="165">
        <v>863</v>
      </c>
      <c r="AP872" s="171"/>
      <c r="AY872" s="166"/>
    </row>
    <row r="873" spans="1:57" ht="30" customHeight="1">
      <c r="A873" s="165">
        <v>864</v>
      </c>
      <c r="AP873" s="171"/>
      <c r="AX873" s="167"/>
      <c r="AY873" s="166"/>
    </row>
    <row r="874" spans="1:57" ht="30" customHeight="1">
      <c r="A874" s="165">
        <v>865</v>
      </c>
      <c r="AP874" s="171"/>
      <c r="AX874" s="167"/>
      <c r="AY874" s="166"/>
    </row>
    <row r="875" spans="1:57" ht="30" customHeight="1">
      <c r="A875" s="103">
        <v>866</v>
      </c>
      <c r="AP875" s="171"/>
      <c r="AX875" s="167"/>
      <c r="AY875" s="166"/>
    </row>
    <row r="876" spans="1:57" ht="30" customHeight="1">
      <c r="A876" s="103">
        <v>842</v>
      </c>
      <c r="AP876" s="171"/>
      <c r="AX876" s="167"/>
      <c r="AY876" s="166"/>
    </row>
    <row r="877" spans="1:57" ht="30" customHeight="1">
      <c r="A877" s="103">
        <v>843</v>
      </c>
      <c r="AP877" s="171"/>
      <c r="AX877" s="167"/>
      <c r="AY877" s="166"/>
    </row>
    <row r="878" spans="1:57" ht="30" customHeight="1">
      <c r="A878" s="103">
        <v>844</v>
      </c>
      <c r="AP878" s="171"/>
      <c r="AX878" s="167"/>
      <c r="AY878" s="166"/>
    </row>
    <row r="879" spans="1:57" ht="30" customHeight="1">
      <c r="A879" s="103">
        <v>845</v>
      </c>
      <c r="AP879" s="171"/>
      <c r="AX879" s="167"/>
      <c r="AY879" s="166"/>
    </row>
    <row r="880" spans="1:57" ht="30" customHeight="1">
      <c r="A880" s="103">
        <v>846</v>
      </c>
      <c r="AP880" s="171"/>
      <c r="AX880" s="167"/>
      <c r="AY880" s="166"/>
    </row>
    <row r="881" spans="1:51" ht="30" customHeight="1">
      <c r="A881" s="103">
        <v>847</v>
      </c>
      <c r="AP881" s="171"/>
      <c r="AX881" s="167"/>
      <c r="AY881" s="166"/>
    </row>
    <row r="882" spans="1:51" ht="30" customHeight="1">
      <c r="A882" s="103">
        <v>848</v>
      </c>
      <c r="AP882" s="171"/>
      <c r="AY882" s="166"/>
    </row>
    <row r="883" spans="1:51" ht="30" customHeight="1">
      <c r="A883" s="103">
        <v>849</v>
      </c>
      <c r="AP883" s="171"/>
      <c r="AY883" s="166"/>
    </row>
    <row r="884" spans="1:51" ht="30" customHeight="1">
      <c r="A884" s="103">
        <v>850</v>
      </c>
      <c r="AP884" s="171"/>
      <c r="AY884" s="166"/>
    </row>
    <row r="885" spans="1:51" ht="30" customHeight="1">
      <c r="A885" s="103">
        <v>851</v>
      </c>
      <c r="AP885" s="171"/>
      <c r="AY885" s="166"/>
    </row>
    <row r="886" spans="1:51" ht="30" customHeight="1">
      <c r="A886" s="103">
        <v>852</v>
      </c>
      <c r="AP886" s="171"/>
      <c r="AY886" s="166"/>
    </row>
    <row r="887" spans="1:51" ht="30" customHeight="1">
      <c r="A887" s="103">
        <v>853</v>
      </c>
      <c r="AP887" s="171"/>
      <c r="AY887" s="166"/>
    </row>
    <row r="888" spans="1:51" ht="30" customHeight="1">
      <c r="A888" s="103">
        <v>854</v>
      </c>
      <c r="AP888" s="171"/>
      <c r="AY888" s="166"/>
    </row>
    <row r="889" spans="1:51" ht="30" customHeight="1">
      <c r="A889" s="103">
        <v>855</v>
      </c>
      <c r="AP889" s="171"/>
      <c r="AY889" s="166"/>
    </row>
    <row r="890" spans="1:51" ht="30" customHeight="1">
      <c r="A890" s="103">
        <v>856</v>
      </c>
      <c r="AP890" s="171"/>
      <c r="AY890" s="166"/>
    </row>
    <row r="891" spans="1:51" ht="30" customHeight="1">
      <c r="A891" s="103">
        <v>857</v>
      </c>
      <c r="AP891" s="171"/>
      <c r="AY891" s="166"/>
    </row>
    <row r="892" spans="1:51" ht="30" customHeight="1">
      <c r="A892" s="103">
        <v>858</v>
      </c>
      <c r="AP892" s="171"/>
      <c r="AY892" s="166"/>
    </row>
    <row r="893" spans="1:51" ht="30" customHeight="1">
      <c r="A893" s="103">
        <v>859</v>
      </c>
      <c r="AP893" s="171"/>
      <c r="AY893" s="166"/>
    </row>
    <row r="894" spans="1:51" ht="30" customHeight="1">
      <c r="A894" s="103">
        <v>860</v>
      </c>
      <c r="AP894" s="171"/>
      <c r="AY894" s="166"/>
    </row>
    <row r="895" spans="1:51" ht="30" customHeight="1">
      <c r="A895" s="103">
        <v>861</v>
      </c>
      <c r="AP895" s="171"/>
      <c r="AY895" s="166"/>
    </row>
    <row r="896" spans="1:51" ht="30" customHeight="1">
      <c r="A896" s="103">
        <v>862</v>
      </c>
      <c r="AP896" s="171"/>
      <c r="AY896" s="166"/>
    </row>
    <row r="897" spans="1:51" ht="30" customHeight="1">
      <c r="A897" s="103">
        <v>863</v>
      </c>
      <c r="AP897" s="171"/>
      <c r="AY897" s="166"/>
    </row>
    <row r="898" spans="1:51" ht="30" customHeight="1">
      <c r="A898" s="103">
        <v>864</v>
      </c>
      <c r="AP898" s="171"/>
      <c r="AY898" s="166"/>
    </row>
    <row r="899" spans="1:51" ht="30" customHeight="1">
      <c r="A899" s="103">
        <v>865</v>
      </c>
      <c r="AP899" s="171"/>
      <c r="AY899" s="166"/>
    </row>
    <row r="900" spans="1:51" ht="30" customHeight="1">
      <c r="A900" s="103">
        <v>866</v>
      </c>
      <c r="AP900" s="171"/>
      <c r="AY900" s="166"/>
    </row>
    <row r="901" spans="1:51" ht="30" customHeight="1">
      <c r="A901" s="103">
        <v>867</v>
      </c>
      <c r="AP901" s="171"/>
      <c r="AY901" s="166"/>
    </row>
    <row r="902" spans="1:51" ht="30" customHeight="1">
      <c r="A902" s="103">
        <v>868</v>
      </c>
      <c r="AP902" s="171"/>
      <c r="AY902" s="166"/>
    </row>
    <row r="903" spans="1:51" ht="30" customHeight="1">
      <c r="A903" s="103">
        <v>869</v>
      </c>
      <c r="AP903" s="171"/>
      <c r="AY903" s="166"/>
    </row>
    <row r="904" spans="1:51" ht="30" customHeight="1">
      <c r="A904" s="103">
        <v>870</v>
      </c>
      <c r="AP904" s="171"/>
      <c r="AY904" s="166"/>
    </row>
    <row r="905" spans="1:51" ht="30" customHeight="1">
      <c r="A905" s="103">
        <v>871</v>
      </c>
      <c r="AP905" s="171"/>
      <c r="AY905" s="166"/>
    </row>
    <row r="906" spans="1:51" ht="30" customHeight="1">
      <c r="A906" s="103">
        <v>872</v>
      </c>
      <c r="AP906" s="171"/>
      <c r="AY906" s="166"/>
    </row>
    <row r="907" spans="1:51" ht="30" customHeight="1">
      <c r="A907" s="103">
        <v>873</v>
      </c>
      <c r="AP907" s="171"/>
      <c r="AY907" s="166"/>
    </row>
    <row r="908" spans="1:51" ht="30" customHeight="1">
      <c r="A908" s="103">
        <v>874</v>
      </c>
      <c r="AP908" s="171"/>
      <c r="AY908" s="166"/>
    </row>
    <row r="909" spans="1:51" ht="30" customHeight="1">
      <c r="A909" s="103">
        <v>875</v>
      </c>
      <c r="AP909" s="171"/>
      <c r="AY909" s="166"/>
    </row>
    <row r="910" spans="1:51" ht="30" customHeight="1">
      <c r="A910" s="103">
        <v>876</v>
      </c>
      <c r="AP910" s="171"/>
      <c r="AY910" s="166"/>
    </row>
    <row r="911" spans="1:51" ht="30" customHeight="1">
      <c r="A911" s="103">
        <v>877</v>
      </c>
      <c r="AP911" s="171"/>
      <c r="AY911" s="166"/>
    </row>
    <row r="912" spans="1:51" ht="30" customHeight="1">
      <c r="A912" s="103">
        <v>878</v>
      </c>
      <c r="AP912" s="171"/>
      <c r="AY912" s="166"/>
    </row>
    <row r="913" spans="1:51" ht="30" customHeight="1">
      <c r="A913" s="103">
        <v>879</v>
      </c>
      <c r="AP913" s="171"/>
      <c r="AY913" s="166"/>
    </row>
    <row r="914" spans="1:51" ht="30" customHeight="1">
      <c r="A914" s="103">
        <v>880</v>
      </c>
      <c r="AP914" s="171"/>
      <c r="AY914" s="166"/>
    </row>
    <row r="915" spans="1:51" ht="30" customHeight="1">
      <c r="A915" s="103">
        <v>881</v>
      </c>
      <c r="AP915" s="171"/>
      <c r="AY915" s="166"/>
    </row>
    <row r="916" spans="1:51" ht="30" customHeight="1">
      <c r="A916" s="103">
        <v>882</v>
      </c>
      <c r="AP916" s="171"/>
      <c r="AY916" s="166"/>
    </row>
    <row r="917" spans="1:51" ht="30" customHeight="1">
      <c r="A917" s="103">
        <v>883</v>
      </c>
      <c r="AP917" s="171"/>
      <c r="AY917" s="166"/>
    </row>
    <row r="918" spans="1:51" ht="30" customHeight="1">
      <c r="A918" s="103">
        <v>884</v>
      </c>
      <c r="AP918" s="171"/>
      <c r="AY918" s="166"/>
    </row>
    <row r="919" spans="1:51" ht="30" customHeight="1">
      <c r="A919" s="103">
        <v>885</v>
      </c>
      <c r="AP919" s="171"/>
      <c r="AY919" s="166"/>
    </row>
    <row r="920" spans="1:51" ht="30" customHeight="1">
      <c r="A920" s="103">
        <v>886</v>
      </c>
      <c r="AP920" s="171"/>
      <c r="AY920" s="166"/>
    </row>
    <row r="921" spans="1:51" ht="30" customHeight="1">
      <c r="A921" s="103">
        <v>887</v>
      </c>
      <c r="AP921" s="171"/>
      <c r="AY921" s="166"/>
    </row>
    <row r="922" spans="1:51" ht="30" customHeight="1">
      <c r="A922" s="103">
        <v>888</v>
      </c>
      <c r="AP922" s="171"/>
      <c r="AY922" s="166"/>
    </row>
    <row r="923" spans="1:51" ht="30" customHeight="1">
      <c r="A923" s="103">
        <v>889</v>
      </c>
      <c r="AP923" s="171"/>
      <c r="AY923" s="166"/>
    </row>
    <row r="924" spans="1:51" ht="30" customHeight="1">
      <c r="A924" s="103">
        <v>890</v>
      </c>
      <c r="AP924" s="171"/>
      <c r="AY924" s="166"/>
    </row>
    <row r="925" spans="1:51" ht="30" customHeight="1">
      <c r="A925" s="103">
        <v>891</v>
      </c>
      <c r="AP925" s="171"/>
      <c r="AY925" s="166"/>
    </row>
    <row r="926" spans="1:51" ht="30" customHeight="1">
      <c r="A926" s="103">
        <v>892</v>
      </c>
      <c r="AP926" s="171"/>
      <c r="AY926" s="166"/>
    </row>
    <row r="927" spans="1:51" ht="30" customHeight="1">
      <c r="A927" s="103">
        <v>893</v>
      </c>
      <c r="AP927" s="171"/>
      <c r="AY927" s="166"/>
    </row>
    <row r="928" spans="1:51" ht="30" customHeight="1">
      <c r="A928" s="103">
        <v>894</v>
      </c>
      <c r="AP928" s="171"/>
      <c r="AY928" s="166"/>
    </row>
    <row r="929" spans="1:51" ht="30" customHeight="1">
      <c r="A929" s="103">
        <v>895</v>
      </c>
      <c r="AP929" s="171"/>
      <c r="AY929" s="166"/>
    </row>
    <row r="930" spans="1:51" ht="30" customHeight="1">
      <c r="A930" s="103">
        <v>896</v>
      </c>
      <c r="AP930" s="171"/>
      <c r="AY930" s="166"/>
    </row>
    <row r="931" spans="1:51" ht="30" customHeight="1">
      <c r="A931" s="103">
        <v>897</v>
      </c>
      <c r="AP931" s="171"/>
      <c r="AY931" s="166"/>
    </row>
    <row r="932" spans="1:51" ht="30" customHeight="1">
      <c r="A932" s="103">
        <v>898</v>
      </c>
      <c r="AP932" s="171"/>
      <c r="AY932" s="166"/>
    </row>
    <row r="933" spans="1:51" ht="30" customHeight="1">
      <c r="A933" s="103">
        <v>899</v>
      </c>
      <c r="AP933" s="171"/>
      <c r="AY933" s="166"/>
    </row>
    <row r="934" spans="1:51" ht="30" customHeight="1">
      <c r="A934" s="103">
        <v>900</v>
      </c>
      <c r="AP934" s="171"/>
      <c r="AY934" s="166"/>
    </row>
    <row r="935" spans="1:51" ht="30" customHeight="1">
      <c r="A935" s="103">
        <v>901</v>
      </c>
      <c r="AP935" s="171"/>
      <c r="AY935" s="166"/>
    </row>
    <row r="936" spans="1:51" ht="30" customHeight="1">
      <c r="A936" s="103">
        <v>902</v>
      </c>
      <c r="AP936" s="171"/>
      <c r="AY936" s="166"/>
    </row>
    <row r="937" spans="1:51" ht="30" customHeight="1">
      <c r="A937" s="103">
        <v>903</v>
      </c>
      <c r="AP937" s="171"/>
      <c r="AY937" s="166"/>
    </row>
    <row r="938" spans="1:51" ht="30" customHeight="1">
      <c r="A938" s="103">
        <v>904</v>
      </c>
      <c r="AY938" s="166"/>
    </row>
    <row r="939" spans="1:51" ht="30" customHeight="1">
      <c r="A939" s="103">
        <v>905</v>
      </c>
      <c r="AY939" s="166"/>
    </row>
    <row r="940" spans="1:51" ht="30" customHeight="1">
      <c r="A940" s="103">
        <v>906</v>
      </c>
      <c r="AY940" s="166"/>
    </row>
    <row r="941" spans="1:51" ht="30" customHeight="1">
      <c r="A941" s="103">
        <v>907</v>
      </c>
      <c r="AY941" s="166"/>
    </row>
    <row r="942" spans="1:51" ht="30" customHeight="1">
      <c r="A942" s="103">
        <v>908</v>
      </c>
      <c r="AY942" s="166"/>
    </row>
    <row r="943" spans="1:51" ht="30" customHeight="1">
      <c r="A943" s="103">
        <v>909</v>
      </c>
      <c r="AY943" s="166"/>
    </row>
    <row r="944" spans="1:51" ht="30" customHeight="1">
      <c r="A944" s="103">
        <v>910</v>
      </c>
      <c r="AY944" s="166"/>
    </row>
    <row r="945" spans="1:51" ht="30" customHeight="1">
      <c r="A945" s="103">
        <v>911</v>
      </c>
      <c r="AY945" s="166"/>
    </row>
    <row r="946" spans="1:51" ht="30" customHeight="1">
      <c r="A946" s="103">
        <v>912</v>
      </c>
      <c r="AY946" s="166"/>
    </row>
    <row r="947" spans="1:51" ht="30" customHeight="1">
      <c r="A947" s="103">
        <v>913</v>
      </c>
      <c r="AY947" s="166"/>
    </row>
    <row r="948" spans="1:51" ht="30" customHeight="1">
      <c r="A948" s="103">
        <v>914</v>
      </c>
      <c r="AY948" s="166"/>
    </row>
    <row r="949" spans="1:51" ht="30" customHeight="1">
      <c r="A949" s="103">
        <v>915</v>
      </c>
      <c r="AY949" s="166"/>
    </row>
    <row r="950" spans="1:51" ht="30" customHeight="1">
      <c r="A950" s="103">
        <v>916</v>
      </c>
      <c r="AY950" s="166"/>
    </row>
    <row r="951" spans="1:51" ht="30" customHeight="1">
      <c r="A951" s="103">
        <v>917</v>
      </c>
      <c r="AY951" s="166"/>
    </row>
    <row r="952" spans="1:51" ht="30" customHeight="1">
      <c r="A952" s="103">
        <v>918</v>
      </c>
      <c r="AY952" s="166"/>
    </row>
    <row r="953" spans="1:51" ht="30" customHeight="1">
      <c r="A953" s="103">
        <v>919</v>
      </c>
      <c r="AY953" s="166"/>
    </row>
    <row r="954" spans="1:51" ht="30" customHeight="1">
      <c r="A954" s="103">
        <v>920</v>
      </c>
      <c r="AY954" s="166"/>
    </row>
    <row r="955" spans="1:51" ht="30" customHeight="1">
      <c r="A955" s="103">
        <v>921</v>
      </c>
      <c r="AY955" s="166"/>
    </row>
    <row r="956" spans="1:51" ht="30" customHeight="1">
      <c r="A956" s="103">
        <v>922</v>
      </c>
      <c r="AY956" s="166"/>
    </row>
    <row r="957" spans="1:51" ht="30" customHeight="1">
      <c r="A957" s="103">
        <v>923</v>
      </c>
      <c r="AY957" s="166"/>
    </row>
    <row r="958" spans="1:51" ht="30" customHeight="1">
      <c r="A958" s="103">
        <v>924</v>
      </c>
      <c r="AY958" s="166"/>
    </row>
    <row r="959" spans="1:51" ht="30" customHeight="1">
      <c r="A959" s="103">
        <v>925</v>
      </c>
      <c r="AY959" s="166"/>
    </row>
    <row r="960" spans="1:51" ht="30" customHeight="1">
      <c r="A960" s="103">
        <v>926</v>
      </c>
      <c r="AY960" s="166"/>
    </row>
    <row r="961" spans="1:51" ht="30" customHeight="1">
      <c r="A961" s="103">
        <v>927</v>
      </c>
      <c r="AY961" s="166"/>
    </row>
    <row r="962" spans="1:51" ht="30" customHeight="1">
      <c r="A962" s="103">
        <v>928</v>
      </c>
      <c r="AY962" s="166"/>
    </row>
    <row r="963" spans="1:51" ht="30" customHeight="1">
      <c r="A963" s="103">
        <v>929</v>
      </c>
      <c r="AY963" s="166"/>
    </row>
    <row r="964" spans="1:51" ht="30" customHeight="1">
      <c r="A964" s="103">
        <v>930</v>
      </c>
      <c r="AY964" s="166"/>
    </row>
    <row r="965" spans="1:51" ht="30" customHeight="1">
      <c r="A965" s="103">
        <v>931</v>
      </c>
      <c r="AY965" s="166"/>
    </row>
    <row r="966" spans="1:51" ht="30" customHeight="1">
      <c r="A966" s="103">
        <v>932</v>
      </c>
      <c r="AY966" s="166"/>
    </row>
    <row r="967" spans="1:51" ht="30" customHeight="1">
      <c r="A967" s="103">
        <v>933</v>
      </c>
      <c r="AY967" s="166"/>
    </row>
    <row r="968" spans="1:51" ht="30" customHeight="1">
      <c r="A968" s="103">
        <v>934</v>
      </c>
      <c r="AY968" s="166"/>
    </row>
    <row r="969" spans="1:51" ht="30" customHeight="1">
      <c r="A969" s="103">
        <v>935</v>
      </c>
      <c r="AY969" s="166"/>
    </row>
    <row r="970" spans="1:51" ht="30" customHeight="1">
      <c r="A970" s="103">
        <v>936</v>
      </c>
      <c r="AY970" s="166"/>
    </row>
    <row r="971" spans="1:51" ht="30" customHeight="1">
      <c r="A971" s="103">
        <v>937</v>
      </c>
      <c r="AY971" s="166"/>
    </row>
    <row r="972" spans="1:51" ht="30" customHeight="1">
      <c r="A972" s="103">
        <v>938</v>
      </c>
      <c r="AY972" s="166"/>
    </row>
    <row r="973" spans="1:51" ht="30" customHeight="1">
      <c r="A973" s="103">
        <v>939</v>
      </c>
      <c r="AY973" s="166"/>
    </row>
    <row r="974" spans="1:51" ht="30" customHeight="1">
      <c r="A974" s="103">
        <v>940</v>
      </c>
      <c r="AY974" s="166"/>
    </row>
    <row r="975" spans="1:51" ht="30" customHeight="1">
      <c r="A975" s="103">
        <v>941</v>
      </c>
      <c r="AY975" s="166"/>
    </row>
    <row r="976" spans="1:51" ht="30" customHeight="1">
      <c r="A976" s="103">
        <v>942</v>
      </c>
      <c r="AY976" s="166"/>
    </row>
    <row r="977" spans="1:51" ht="30" customHeight="1">
      <c r="A977" s="103">
        <v>943</v>
      </c>
      <c r="AY977" s="166"/>
    </row>
    <row r="978" spans="1:51" ht="30" customHeight="1">
      <c r="A978" s="103">
        <v>944</v>
      </c>
    </row>
    <row r="979" spans="1:51" ht="30" customHeight="1">
      <c r="A979" s="103">
        <v>945</v>
      </c>
    </row>
    <row r="980" spans="1:51" ht="30" customHeight="1">
      <c r="A980" s="103">
        <v>946</v>
      </c>
    </row>
    <row r="981" spans="1:51" ht="30" customHeight="1">
      <c r="A981" s="103">
        <v>947</v>
      </c>
    </row>
    <row r="982" spans="1:51" ht="30" customHeight="1">
      <c r="X982" s="105"/>
    </row>
    <row r="986" spans="1:51" ht="30" customHeight="1">
      <c r="AY986" s="101" t="s">
        <v>1124</v>
      </c>
    </row>
  </sheetData>
  <autoFilter ref="B9:BM981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3:F1048576 F1:F7 F9 F714:F871">
    <cfRule type="duplicateValues" dxfId="290" priority="1597"/>
    <cfRule type="duplicateValues" dxfId="289" priority="1601"/>
  </conditionalFormatting>
  <conditionalFormatting sqref="F873:F1048576 F1:F9 F714:F871">
    <cfRule type="duplicateValues" dxfId="288" priority="1607"/>
  </conditionalFormatting>
  <conditionalFormatting sqref="F873:F1048576 F1:F871">
    <cfRule type="duplicateValues" dxfId="287" priority="1187"/>
  </conditionalFormatting>
  <conditionalFormatting sqref="F873:F1048576 F714:F871">
    <cfRule type="duplicateValues" dxfId="286" priority="1605"/>
  </conditionalFormatting>
  <conditionalFormatting sqref="I693:I694">
    <cfRule type="containsText" dxfId="285" priority="340" operator="containsText" text="NÃO RESIDENTE">
      <formula>NOT(ISERROR(SEARCH("NÃO RESIDENTE",I693)))</formula>
    </cfRule>
  </conditionalFormatting>
  <conditionalFormatting sqref="J20">
    <cfRule type="duplicateValues" dxfId="284" priority="627"/>
  </conditionalFormatting>
  <conditionalFormatting sqref="J231:J232 J167">
    <cfRule type="duplicateValues" dxfId="283" priority="741"/>
  </conditionalFormatting>
  <conditionalFormatting sqref="J794:J806">
    <cfRule type="duplicateValues" dxfId="282" priority="3084"/>
  </conditionalFormatting>
  <conditionalFormatting sqref="J873:J1048576 J763 J569:J581 J1:J7 J9 J790:J791 J807:J871">
    <cfRule type="duplicateValues" dxfId="281" priority="1610"/>
  </conditionalFormatting>
  <conditionalFormatting sqref="J769:K771">
    <cfRule type="duplicateValues" dxfId="280" priority="345"/>
  </conditionalFormatting>
  <conditionalFormatting sqref="J764:L765">
    <cfRule type="duplicateValues" dxfId="279" priority="359"/>
  </conditionalFormatting>
  <conditionalFormatting sqref="J766:L766 J768:L768 J767 L767">
    <cfRule type="duplicateValues" dxfId="278" priority="353"/>
  </conditionalFormatting>
  <conditionalFormatting sqref="J792:L792">
    <cfRule type="duplicateValues" dxfId="277" priority="338"/>
  </conditionalFormatting>
  <conditionalFormatting sqref="J793:L793">
    <cfRule type="duplicateValues" dxfId="276" priority="337"/>
  </conditionalFormatting>
  <conditionalFormatting sqref="K767">
    <cfRule type="duplicateValues" dxfId="275" priority="350"/>
  </conditionalFormatting>
  <conditionalFormatting sqref="K790:L791">
    <cfRule type="duplicateValues" dxfId="274" priority="339"/>
  </conditionalFormatting>
  <conditionalFormatting sqref="K794:L794">
    <cfRule type="duplicateValues" dxfId="273" priority="335"/>
  </conditionalFormatting>
  <conditionalFormatting sqref="K795:L795">
    <cfRule type="duplicateValues" dxfId="272" priority="334"/>
  </conditionalFormatting>
  <conditionalFormatting sqref="K796:L796">
    <cfRule type="duplicateValues" dxfId="271" priority="333"/>
  </conditionalFormatting>
  <conditionalFormatting sqref="K797:L797">
    <cfRule type="duplicateValues" dxfId="270" priority="332"/>
  </conditionalFormatting>
  <conditionalFormatting sqref="K798:L798">
    <cfRule type="duplicateValues" dxfId="269" priority="331"/>
  </conditionalFormatting>
  <conditionalFormatting sqref="K799:L799">
    <cfRule type="duplicateValues" dxfId="268" priority="330"/>
  </conditionalFormatting>
  <conditionalFormatting sqref="K800:L800">
    <cfRule type="duplicateValues" dxfId="267" priority="329"/>
  </conditionalFormatting>
  <conditionalFormatting sqref="K801:L801">
    <cfRule type="duplicateValues" dxfId="266" priority="328"/>
  </conditionalFormatting>
  <conditionalFormatting sqref="K802:L802">
    <cfRule type="duplicateValues" dxfId="265" priority="327"/>
  </conditionalFormatting>
  <conditionalFormatting sqref="K803:L803">
    <cfRule type="duplicateValues" dxfId="264" priority="326"/>
  </conditionalFormatting>
  <conditionalFormatting sqref="K804:L804">
    <cfRule type="duplicateValues" dxfId="263" priority="325"/>
  </conditionalFormatting>
  <conditionalFormatting sqref="K805:L805">
    <cfRule type="duplicateValues" dxfId="262" priority="323"/>
  </conditionalFormatting>
  <conditionalFormatting sqref="K806:L806">
    <cfRule type="duplicateValues" dxfId="261" priority="322"/>
  </conditionalFormatting>
  <conditionalFormatting sqref="L20">
    <cfRule type="duplicateValues" dxfId="260" priority="626"/>
  </conditionalFormatting>
  <conditionalFormatting sqref="L394">
    <cfRule type="duplicateValues" dxfId="259" priority="184"/>
    <cfRule type="duplicateValues" dxfId="258" priority="183"/>
  </conditionalFormatting>
  <conditionalFormatting sqref="L498">
    <cfRule type="duplicateValues" dxfId="257" priority="181"/>
    <cfRule type="duplicateValues" dxfId="256" priority="182"/>
  </conditionalFormatting>
  <conditionalFormatting sqref="L769:L771">
    <cfRule type="duplicateValues" dxfId="255" priority="344"/>
  </conditionalFormatting>
  <conditionalFormatting sqref="AB20">
    <cfRule type="duplicateValues" dxfId="254" priority="171"/>
  </conditionalFormatting>
  <conditionalFormatting sqref="AB167">
    <cfRule type="duplicateValues" dxfId="253" priority="163"/>
  </conditionalFormatting>
  <conditionalFormatting sqref="AB569">
    <cfRule type="duplicateValues" dxfId="252" priority="153"/>
  </conditionalFormatting>
  <conditionalFormatting sqref="AB571">
    <cfRule type="duplicateValues" dxfId="251" priority="152"/>
  </conditionalFormatting>
  <conditionalFormatting sqref="AB572">
    <cfRule type="duplicateValues" dxfId="250" priority="151"/>
  </conditionalFormatting>
  <conditionalFormatting sqref="AB573">
    <cfRule type="duplicateValues" dxfId="249" priority="231"/>
  </conditionalFormatting>
  <conditionalFormatting sqref="AB574">
    <cfRule type="duplicateValues" dxfId="248" priority="1"/>
  </conditionalFormatting>
  <conditionalFormatting sqref="AB575:AB576">
    <cfRule type="duplicateValues" dxfId="247" priority="150"/>
  </conditionalFormatting>
  <conditionalFormatting sqref="AB577">
    <cfRule type="duplicateValues" dxfId="246" priority="149"/>
  </conditionalFormatting>
  <conditionalFormatting sqref="AB578">
    <cfRule type="duplicateValues" dxfId="245" priority="148"/>
  </conditionalFormatting>
  <conditionalFormatting sqref="AB580:AB581">
    <cfRule type="duplicateValues" dxfId="244" priority="147"/>
  </conditionalFormatting>
  <conditionalFormatting sqref="AB763">
    <cfRule type="duplicateValues" dxfId="243" priority="146"/>
  </conditionalFormatting>
  <conditionalFormatting sqref="AB765">
    <cfRule type="duplicateValues" dxfId="242" priority="145"/>
  </conditionalFormatting>
  <conditionalFormatting sqref="AB766:AB768">
    <cfRule type="duplicateValues" dxfId="241" priority="144"/>
  </conditionalFormatting>
  <conditionalFormatting sqref="AB769">
    <cfRule type="duplicateValues" dxfId="240" priority="143"/>
  </conditionalFormatting>
  <conditionalFormatting sqref="AB770:AB771">
    <cfRule type="duplicateValues" dxfId="239" priority="137"/>
  </conditionalFormatting>
  <conditionalFormatting sqref="AB790:AB791">
    <cfRule type="duplicateValues" dxfId="238" priority="134"/>
  </conditionalFormatting>
  <conditionalFormatting sqref="AB792">
    <cfRule type="duplicateValues" dxfId="237" priority="133"/>
  </conditionalFormatting>
  <conditionalFormatting sqref="AB793">
    <cfRule type="duplicateValues" dxfId="236" priority="129"/>
  </conditionalFormatting>
  <conditionalFormatting sqref="AB794:AB798">
    <cfRule type="duplicateValues" dxfId="235" priority="130"/>
  </conditionalFormatting>
  <conditionalFormatting sqref="AB799:AB804">
    <cfRule type="duplicateValues" dxfId="234" priority="122"/>
  </conditionalFormatting>
  <conditionalFormatting sqref="AC767">
    <cfRule type="duplicateValues" dxfId="233" priority="140"/>
  </conditionalFormatting>
  <conditionalFormatting sqref="AC769">
    <cfRule type="duplicateValues" dxfId="232" priority="139"/>
  </conditionalFormatting>
  <conditionalFormatting sqref="AC770:AC771">
    <cfRule type="duplicateValues" dxfId="231" priority="136"/>
  </conditionalFormatting>
  <conditionalFormatting sqref="AC765:AD765">
    <cfRule type="duplicateValues" dxfId="230" priority="142"/>
  </conditionalFormatting>
  <conditionalFormatting sqref="AC766:AD766 AC768:AD768 AD767">
    <cfRule type="duplicateValues" dxfId="229" priority="141"/>
  </conditionalFormatting>
  <conditionalFormatting sqref="AC790:AD791">
    <cfRule type="duplicateValues" dxfId="228" priority="132"/>
  </conditionalFormatting>
  <conditionalFormatting sqref="AC792:AD792">
    <cfRule type="duplicateValues" dxfId="227" priority="131"/>
  </conditionalFormatting>
  <conditionalFormatting sqref="AC793:AD793">
    <cfRule type="duplicateValues" dxfId="226" priority="128"/>
  </conditionalFormatting>
  <conditionalFormatting sqref="AC794:AD794">
    <cfRule type="duplicateValues" dxfId="225" priority="127"/>
  </conditionalFormatting>
  <conditionalFormatting sqref="AC795:AD795">
    <cfRule type="duplicateValues" dxfId="224" priority="126"/>
  </conditionalFormatting>
  <conditionalFormatting sqref="AC796:AD796">
    <cfRule type="duplicateValues" dxfId="223" priority="125"/>
  </conditionalFormatting>
  <conditionalFormatting sqref="AC797:AD797">
    <cfRule type="duplicateValues" dxfId="222" priority="124"/>
  </conditionalFormatting>
  <conditionalFormatting sqref="AC798:AD798">
    <cfRule type="duplicateValues" dxfId="221" priority="123"/>
  </conditionalFormatting>
  <conditionalFormatting sqref="AC799:AD799">
    <cfRule type="duplicateValues" dxfId="220" priority="121"/>
  </conditionalFormatting>
  <conditionalFormatting sqref="AC800:AD800">
    <cfRule type="duplicateValues" dxfId="219" priority="120"/>
  </conditionalFormatting>
  <conditionalFormatting sqref="AC801:AD801">
    <cfRule type="duplicateValues" dxfId="218" priority="119"/>
  </conditionalFormatting>
  <conditionalFormatting sqref="AC802:AD802">
    <cfRule type="duplicateValues" dxfId="217" priority="118"/>
  </conditionalFormatting>
  <conditionalFormatting sqref="AC803:AD803">
    <cfRule type="duplicateValues" dxfId="216" priority="117"/>
  </conditionalFormatting>
  <conditionalFormatting sqref="AC804:AD804">
    <cfRule type="duplicateValues" dxfId="215" priority="116"/>
  </conditionalFormatting>
  <conditionalFormatting sqref="AC873:AD1048576 AC1:AD9 AC805:AD871">
    <cfRule type="duplicateValues" dxfId="214" priority="1186"/>
  </conditionalFormatting>
  <conditionalFormatting sqref="AD20">
    <cfRule type="duplicateValues" dxfId="213" priority="170"/>
  </conditionalFormatting>
  <conditionalFormatting sqref="AD167">
    <cfRule type="duplicateValues" dxfId="212" priority="162"/>
  </conditionalFormatting>
  <conditionalFormatting sqref="AD498">
    <cfRule type="duplicateValues" dxfId="211" priority="155"/>
    <cfRule type="duplicateValues" dxfId="210" priority="154"/>
  </conditionalFormatting>
  <conditionalFormatting sqref="AD769">
    <cfRule type="duplicateValues" dxfId="209" priority="138"/>
  </conditionalFormatting>
  <conditionalFormatting sqref="AD770:AD771">
    <cfRule type="duplicateValues" dxfId="208" priority="135"/>
  </conditionalFormatting>
  <conditionalFormatting sqref="AD873:AD1048576 L167 AD1:AD9 AD805:AD871">
    <cfRule type="duplicateValues" dxfId="207" priority="740"/>
  </conditionalFormatting>
  <conditionalFormatting sqref="AE1:AF8 AE9 AE805:AF871 AE873:AF1048576">
    <cfRule type="containsText" dxfId="206" priority="1316" operator="containsText" text="NÃO RESIDENTE">
      <formula>NOT(ISERROR(SEARCH("NÃO RESIDENTE",AE1)))</formula>
    </cfRule>
  </conditionalFormatting>
  <conditionalFormatting sqref="AG8:AI8">
    <cfRule type="containsText" dxfId="205" priority="560" operator="containsText" text="NÃO RESIDENTE">
      <formula>NOT(ISERROR(SEARCH("NÃO RESIDENTE",AG8)))</formula>
    </cfRule>
  </conditionalFormatting>
  <conditionalFormatting sqref="AP10">
    <cfRule type="duplicateValues" dxfId="204" priority="746"/>
  </conditionalFormatting>
  <conditionalFormatting sqref="AP11">
    <cfRule type="duplicateValues" dxfId="203" priority="747"/>
  </conditionalFormatting>
  <conditionalFormatting sqref="AP12:AP137">
    <cfRule type="duplicateValues" dxfId="202" priority="1253"/>
  </conditionalFormatting>
  <conditionalFormatting sqref="AP14">
    <cfRule type="duplicateValues" dxfId="201" priority="435"/>
  </conditionalFormatting>
  <conditionalFormatting sqref="AP20">
    <cfRule type="duplicateValues" dxfId="200" priority="604"/>
  </conditionalFormatting>
  <conditionalFormatting sqref="AP22">
    <cfRule type="duplicateValues" dxfId="199" priority="419"/>
  </conditionalFormatting>
  <conditionalFormatting sqref="AP25">
    <cfRule type="duplicateValues" dxfId="198" priority="418"/>
  </conditionalFormatting>
  <conditionalFormatting sqref="AP30">
    <cfRule type="duplicateValues" dxfId="197" priority="603"/>
  </conditionalFormatting>
  <conditionalFormatting sqref="AP35:AP36">
    <cfRule type="duplicateValues" dxfId="196" priority="629"/>
  </conditionalFormatting>
  <conditionalFormatting sqref="AP37">
    <cfRule type="duplicateValues" dxfId="195" priority="602"/>
  </conditionalFormatting>
  <conditionalFormatting sqref="AP39">
    <cfRule type="duplicateValues" dxfId="194" priority="417"/>
  </conditionalFormatting>
  <conditionalFormatting sqref="AP42">
    <cfRule type="duplicateValues" dxfId="193" priority="600"/>
  </conditionalFormatting>
  <conditionalFormatting sqref="AP44">
    <cfRule type="duplicateValues" dxfId="192" priority="450"/>
  </conditionalFormatting>
  <conditionalFormatting sqref="AP49">
    <cfRule type="duplicateValues" dxfId="191" priority="303"/>
  </conditionalFormatting>
  <conditionalFormatting sqref="AP53">
    <cfRule type="duplicateValues" dxfId="190" priority="415"/>
  </conditionalFormatting>
  <conditionalFormatting sqref="AP61:AP62">
    <cfRule type="duplicateValues" dxfId="189" priority="1237"/>
  </conditionalFormatting>
  <conditionalFormatting sqref="AP63">
    <cfRule type="duplicateValues" dxfId="188" priority="1232"/>
  </conditionalFormatting>
  <conditionalFormatting sqref="AP64">
    <cfRule type="duplicateValues" dxfId="187" priority="1252"/>
  </conditionalFormatting>
  <conditionalFormatting sqref="AP66">
    <cfRule type="duplicateValues" dxfId="186" priority="640"/>
  </conditionalFormatting>
  <conditionalFormatting sqref="AP68:AP69">
    <cfRule type="duplicateValues" dxfId="185" priority="1251"/>
  </conditionalFormatting>
  <conditionalFormatting sqref="AP70">
    <cfRule type="duplicateValues" dxfId="184" priority="414"/>
  </conditionalFormatting>
  <conditionalFormatting sqref="AP72">
    <cfRule type="duplicateValues" dxfId="183" priority="638"/>
  </conditionalFormatting>
  <conditionalFormatting sqref="AP74">
    <cfRule type="duplicateValues" dxfId="182" priority="1200"/>
  </conditionalFormatting>
  <conditionalFormatting sqref="AP74:AP77">
    <cfRule type="duplicateValues" dxfId="181" priority="1236"/>
  </conditionalFormatting>
  <conditionalFormatting sqref="AP75">
    <cfRule type="duplicateValues" dxfId="180" priority="1201"/>
  </conditionalFormatting>
  <conditionalFormatting sqref="AP76">
    <cfRule type="duplicateValues" dxfId="179" priority="1202"/>
  </conditionalFormatting>
  <conditionalFormatting sqref="AP83">
    <cfRule type="duplicateValues" dxfId="178" priority="639"/>
  </conditionalFormatting>
  <conditionalFormatting sqref="AP84:AP100 AP102">
    <cfRule type="duplicateValues" dxfId="177" priority="1788"/>
  </conditionalFormatting>
  <conditionalFormatting sqref="AP101">
    <cfRule type="duplicateValues" dxfId="176" priority="3"/>
  </conditionalFormatting>
  <conditionalFormatting sqref="AP103">
    <cfRule type="duplicateValues" dxfId="175" priority="413"/>
  </conditionalFormatting>
  <conditionalFormatting sqref="AP104">
    <cfRule type="duplicateValues" dxfId="174" priority="745"/>
  </conditionalFormatting>
  <conditionalFormatting sqref="AP106">
    <cfRule type="duplicateValues" dxfId="173" priority="628"/>
  </conditionalFormatting>
  <conditionalFormatting sqref="AP107">
    <cfRule type="duplicateValues" dxfId="172" priority="412"/>
  </conditionalFormatting>
  <conditionalFormatting sqref="AP109">
    <cfRule type="duplicateValues" dxfId="171" priority="599"/>
  </conditionalFormatting>
  <conditionalFormatting sqref="AP110">
    <cfRule type="duplicateValues" dxfId="170" priority="631"/>
  </conditionalFormatting>
  <conditionalFormatting sqref="AP111">
    <cfRule type="duplicateValues" dxfId="169" priority="598"/>
  </conditionalFormatting>
  <conditionalFormatting sqref="AP113">
    <cfRule type="duplicateValues" dxfId="168" priority="1250"/>
  </conditionalFormatting>
  <conditionalFormatting sqref="AP114">
    <cfRule type="duplicateValues" dxfId="167" priority="597"/>
  </conditionalFormatting>
  <conditionalFormatting sqref="AP115:AP116">
    <cfRule type="duplicateValues" dxfId="166" priority="411"/>
  </conditionalFormatting>
  <conditionalFormatting sqref="AP118">
    <cfRule type="duplicateValues" dxfId="165" priority="410"/>
  </conditionalFormatting>
  <conditionalFormatting sqref="AP119">
    <cfRule type="duplicateValues" dxfId="164" priority="595"/>
    <cfRule type="duplicateValues" dxfId="163" priority="449"/>
  </conditionalFormatting>
  <conditionalFormatting sqref="AP120">
    <cfRule type="duplicateValues" dxfId="162" priority="14"/>
  </conditionalFormatting>
  <conditionalFormatting sqref="AP121:AP125">
    <cfRule type="duplicateValues" dxfId="161" priority="594"/>
  </conditionalFormatting>
  <conditionalFormatting sqref="AP123">
    <cfRule type="duplicateValues" dxfId="160" priority="1194"/>
    <cfRule type="duplicateValues" dxfId="159" priority="2073"/>
  </conditionalFormatting>
  <conditionalFormatting sqref="AP125">
    <cfRule type="duplicateValues" dxfId="158" priority="44"/>
    <cfRule type="duplicateValues" dxfId="157" priority="43"/>
  </conditionalFormatting>
  <conditionalFormatting sqref="AP126 AP128">
    <cfRule type="duplicateValues" dxfId="156" priority="630"/>
  </conditionalFormatting>
  <conditionalFormatting sqref="AP127">
    <cfRule type="duplicateValues" dxfId="155" priority="15"/>
  </conditionalFormatting>
  <conditionalFormatting sqref="AP129">
    <cfRule type="duplicateValues" dxfId="154" priority="408"/>
  </conditionalFormatting>
  <conditionalFormatting sqref="AP130">
    <cfRule type="duplicateValues" dxfId="153" priority="60"/>
  </conditionalFormatting>
  <conditionalFormatting sqref="AP131">
    <cfRule type="duplicateValues" dxfId="152" priority="61"/>
  </conditionalFormatting>
  <conditionalFormatting sqref="AP132">
    <cfRule type="duplicateValues" dxfId="151" priority="405"/>
  </conditionalFormatting>
  <conditionalFormatting sqref="AP133 AP135">
    <cfRule type="duplicateValues" dxfId="150" priority="321"/>
  </conditionalFormatting>
  <conditionalFormatting sqref="AP134">
    <cfRule type="duplicateValues" dxfId="149" priority="28"/>
  </conditionalFormatting>
  <conditionalFormatting sqref="AP148">
    <cfRule type="duplicateValues" dxfId="148" priority="13"/>
    <cfRule type="duplicateValues" dxfId="147" priority="12"/>
  </conditionalFormatting>
  <conditionalFormatting sqref="AP169">
    <cfRule type="duplicateValues" dxfId="146" priority="27"/>
    <cfRule type="duplicateValues" dxfId="145" priority="26"/>
  </conditionalFormatting>
  <conditionalFormatting sqref="AP171">
    <cfRule type="duplicateValues" dxfId="144" priority="16"/>
    <cfRule type="duplicateValues" dxfId="143" priority="17"/>
  </conditionalFormatting>
  <conditionalFormatting sqref="AP174">
    <cfRule type="duplicateValues" dxfId="142" priority="7"/>
    <cfRule type="duplicateValues" dxfId="141" priority="6"/>
  </conditionalFormatting>
  <conditionalFormatting sqref="AP187">
    <cfRule type="duplicateValues" dxfId="140" priority="19"/>
    <cfRule type="duplicateValues" dxfId="139" priority="18"/>
  </conditionalFormatting>
  <conditionalFormatting sqref="AP329">
    <cfRule type="duplicateValues" dxfId="138" priority="21"/>
    <cfRule type="duplicateValues" dxfId="137" priority="20"/>
  </conditionalFormatting>
  <conditionalFormatting sqref="AP406">
    <cfRule type="duplicateValues" dxfId="136" priority="4"/>
    <cfRule type="duplicateValues" dxfId="135" priority="5"/>
  </conditionalFormatting>
  <conditionalFormatting sqref="AP475">
    <cfRule type="duplicateValues" dxfId="134" priority="11"/>
    <cfRule type="duplicateValues" dxfId="133" priority="10"/>
  </conditionalFormatting>
  <conditionalFormatting sqref="AP478">
    <cfRule type="duplicateValues" dxfId="132" priority="24"/>
    <cfRule type="duplicateValues" dxfId="131" priority="25"/>
  </conditionalFormatting>
  <conditionalFormatting sqref="AP491:AP521 AP82 AP38 AP105 AP108 AP133 AP135:AP147 AP170 AP479:AP489 AP523:AP549 AP330:AP405 AP188:AP328 AP172:AP173 AP149:AP168 AP476:AP477 AP551:AP937 AP175:AP186 AP407:AP474">
    <cfRule type="duplicateValues" dxfId="130" priority="1255"/>
  </conditionalFormatting>
  <conditionalFormatting sqref="AP491:AP1048576 AP1:AP489">
    <cfRule type="duplicateValues" dxfId="129" priority="1195"/>
    <cfRule type="duplicateValues" dxfId="128" priority="739"/>
  </conditionalFormatting>
  <conditionalFormatting sqref="AP522">
    <cfRule type="duplicateValues" dxfId="127" priority="22"/>
    <cfRule type="duplicateValues" dxfId="126" priority="23"/>
  </conditionalFormatting>
  <conditionalFormatting sqref="AP550">
    <cfRule type="duplicateValues" dxfId="125" priority="8"/>
    <cfRule type="duplicateValues" dxfId="124" priority="9"/>
  </conditionalFormatting>
  <conditionalFormatting sqref="AP938:AP1048576 AP1:AP9 AP78:AP81 AP40:AP41 AP65 AP16:AP19 AP67 AP73 AP21 AP31:AP35 AP117 AP23:AP24 AP26:AP29 AP54:AP60 AP43:AP52 AP70:AP71 AP121:AP122">
    <cfRule type="duplicateValues" dxfId="123" priority="1304"/>
  </conditionalFormatting>
  <conditionalFormatting sqref="AQ112">
    <cfRule type="duplicateValues" dxfId="122" priority="320"/>
  </conditionalFormatting>
  <conditionalFormatting sqref="AR112">
    <cfRule type="duplicateValues" dxfId="121" priority="319"/>
  </conditionalFormatting>
  <conditionalFormatting sqref="AS112">
    <cfRule type="duplicateValues" dxfId="120" priority="318"/>
  </conditionalFormatting>
  <conditionalFormatting sqref="AT112">
    <cfRule type="duplicateValues" dxfId="119" priority="317"/>
  </conditionalFormatting>
  <conditionalFormatting sqref="AU112">
    <cfRule type="duplicateValues" dxfId="118" priority="316"/>
  </conditionalFormatting>
  <conditionalFormatting sqref="AV112">
    <cfRule type="duplicateValues" dxfId="117" priority="315"/>
  </conditionalFormatting>
  <conditionalFormatting sqref="AV183:AW183">
    <cfRule type="cellIs" dxfId="116" priority="100" operator="between">
      <formula>36526</formula>
      <formula>402133</formula>
    </cfRule>
  </conditionalFormatting>
  <conditionalFormatting sqref="AV669:AW669">
    <cfRule type="cellIs" dxfId="115" priority="84" operator="between">
      <formula>36526</formula>
      <formula>402133</formula>
    </cfRule>
  </conditionalFormatting>
  <conditionalFormatting sqref="AV678:AW678">
    <cfRule type="cellIs" dxfId="114" priority="81" operator="between">
      <formula>36526</formula>
      <formula>402133</formula>
    </cfRule>
  </conditionalFormatting>
  <conditionalFormatting sqref="AV713:AW713">
    <cfRule type="cellIs" dxfId="113" priority="78" operator="between">
      <formula>36526</formula>
      <formula>402133</formula>
    </cfRule>
  </conditionalFormatting>
  <conditionalFormatting sqref="AW112">
    <cfRule type="duplicateValues" dxfId="112" priority="314"/>
  </conditionalFormatting>
  <conditionalFormatting sqref="AW457:AX457">
    <cfRule type="cellIs" dxfId="111" priority="610" operator="between">
      <formula>36526</formula>
      <formula>402133</formula>
    </cfRule>
  </conditionalFormatting>
  <conditionalFormatting sqref="AX112">
    <cfRule type="duplicateValues" dxfId="110" priority="313"/>
  </conditionalFormatting>
  <conditionalFormatting sqref="AY1:AY121 AY124:AY158 AY160:AY300 AY302:AY321 AY323:AY383 AY385:AY419 AY421:AY462 AY464:AY481 AY483:AY585 AY587:AY653">
    <cfRule type="cellIs" dxfId="109" priority="50" operator="between">
      <formula>36526</formula>
      <formula>402133</formula>
    </cfRule>
  </conditionalFormatting>
  <conditionalFormatting sqref="AY159">
    <cfRule type="cellIs" dxfId="108" priority="45" operator="greaterThan">
      <formula>43831</formula>
    </cfRule>
  </conditionalFormatting>
  <conditionalFormatting sqref="AY482">
    <cfRule type="cellIs" dxfId="107" priority="46" operator="greaterThan">
      <formula>43831</formula>
    </cfRule>
  </conditionalFormatting>
  <conditionalFormatting sqref="AY655:AY804 AV723:AW723 AY807:AY1048576">
    <cfRule type="cellIs" dxfId="106" priority="74" operator="between">
      <formula>36526</formula>
      <formula>402133</formula>
    </cfRule>
  </conditionalFormatting>
  <conditionalFormatting sqref="AZ13">
    <cfRule type="cellIs" dxfId="105" priority="42" operator="between">
      <formula>36526</formula>
      <formula>402133</formula>
    </cfRule>
  </conditionalFormatting>
  <conditionalFormatting sqref="AZ35">
    <cfRule type="cellIs" dxfId="104" priority="570" operator="between">
      <formula>36526</formula>
      <formula>402133</formula>
    </cfRule>
  </conditionalFormatting>
  <conditionalFormatting sqref="AZ37">
    <cfRule type="cellIs" dxfId="103" priority="528" operator="between">
      <formula>36526</formula>
      <formula>402133</formula>
    </cfRule>
  </conditionalFormatting>
  <conditionalFormatting sqref="AZ42">
    <cfRule type="cellIs" dxfId="102" priority="526" operator="between">
      <formula>36526</formula>
      <formula>402133</formula>
    </cfRule>
  </conditionalFormatting>
  <conditionalFormatting sqref="AZ47">
    <cfRule type="cellIs" dxfId="101" priority="223" operator="between">
      <formula>36526</formula>
      <formula>402133</formula>
    </cfRule>
  </conditionalFormatting>
  <conditionalFormatting sqref="AZ50">
    <cfRule type="cellIs" dxfId="100" priority="107" operator="between">
      <formula>36526</formula>
      <formula>402133</formula>
    </cfRule>
  </conditionalFormatting>
  <conditionalFormatting sqref="AZ54">
    <cfRule type="cellIs" dxfId="99" priority="221" operator="between">
      <formula>36526</formula>
      <formula>402133</formula>
    </cfRule>
  </conditionalFormatting>
  <conditionalFormatting sqref="AZ101">
    <cfRule type="cellIs" dxfId="98" priority="41" operator="between">
      <formula>36526</formula>
      <formula>402133</formula>
    </cfRule>
  </conditionalFormatting>
  <conditionalFormatting sqref="AZ107">
    <cfRule type="cellIs" dxfId="97" priority="220" operator="between">
      <formula>36526</formula>
      <formula>402133</formula>
    </cfRule>
  </conditionalFormatting>
  <conditionalFormatting sqref="AZ114">
    <cfRule type="cellIs" dxfId="96" priority="219" operator="between">
      <formula>36526</formula>
      <formula>402133</formula>
    </cfRule>
  </conditionalFormatting>
  <conditionalFormatting sqref="AZ116">
    <cfRule type="cellIs" dxfId="95" priority="58" operator="between">
      <formula>36526</formula>
      <formula>402133</formula>
    </cfRule>
  </conditionalFormatting>
  <conditionalFormatting sqref="AZ128:AZ130">
    <cfRule type="cellIs" dxfId="94" priority="218" operator="between">
      <formula>36526</formula>
      <formula>402133</formula>
    </cfRule>
  </conditionalFormatting>
  <conditionalFormatting sqref="AZ134 AZ136">
    <cfRule type="cellIs" dxfId="93" priority="37" operator="between">
      <formula>36526</formula>
      <formula>402133</formula>
    </cfRule>
  </conditionalFormatting>
  <conditionalFormatting sqref="AZ139:AZ140">
    <cfRule type="cellIs" dxfId="92" priority="217" operator="between">
      <formula>36526</formula>
      <formula>402133</formula>
    </cfRule>
  </conditionalFormatting>
  <conditionalFormatting sqref="AZ144">
    <cfRule type="cellIs" dxfId="91" priority="105" operator="between">
      <formula>36526</formula>
      <formula>402133</formula>
    </cfRule>
  </conditionalFormatting>
  <conditionalFormatting sqref="AZ148">
    <cfRule type="cellIs" dxfId="90" priority="48" operator="between">
      <formula>36526</formula>
      <formula>402133</formula>
    </cfRule>
  </conditionalFormatting>
  <conditionalFormatting sqref="AZ150">
    <cfRule type="cellIs" dxfId="89" priority="216" operator="between">
      <formula>36526</formula>
      <formula>402133</formula>
    </cfRule>
  </conditionalFormatting>
  <conditionalFormatting sqref="AZ152:AZ156">
    <cfRule type="cellIs" dxfId="88" priority="57" operator="between">
      <formula>36526</formula>
      <formula>402133</formula>
    </cfRule>
  </conditionalFormatting>
  <conditionalFormatting sqref="AZ160">
    <cfRule type="cellIs" dxfId="87" priority="40" operator="between">
      <formula>36526</formula>
      <formula>402133</formula>
    </cfRule>
  </conditionalFormatting>
  <conditionalFormatting sqref="AZ162">
    <cfRule type="cellIs" dxfId="86" priority="56" operator="between">
      <formula>36526</formula>
      <formula>402133</formula>
    </cfRule>
  </conditionalFormatting>
  <conditionalFormatting sqref="AZ166">
    <cfRule type="cellIs" dxfId="85" priority="39" operator="between">
      <formula>36526</formula>
      <formula>402133</formula>
    </cfRule>
  </conditionalFormatting>
  <conditionalFormatting sqref="AZ170:AZ171">
    <cfRule type="cellIs" dxfId="84" priority="30" operator="between">
      <formula>36526</formula>
      <formula>402133</formula>
    </cfRule>
  </conditionalFormatting>
  <conditionalFormatting sqref="AZ173">
    <cfRule type="cellIs" dxfId="83" priority="519" operator="between">
      <formula>36526</formula>
      <formula>402133</formula>
    </cfRule>
  </conditionalFormatting>
  <conditionalFormatting sqref="AZ178:AZ180">
    <cfRule type="cellIs" dxfId="82" priority="103" operator="between">
      <formula>36526</formula>
      <formula>402133</formula>
    </cfRule>
  </conditionalFormatting>
  <conditionalFormatting sqref="AZ182">
    <cfRule type="cellIs" dxfId="81" priority="55" operator="between">
      <formula>36526</formula>
      <formula>402133</formula>
    </cfRule>
  </conditionalFormatting>
  <conditionalFormatting sqref="AZ184:AZ186">
    <cfRule type="cellIs" dxfId="80" priority="36" operator="between">
      <formula>36526</formula>
      <formula>402133</formula>
    </cfRule>
  </conditionalFormatting>
  <conditionalFormatting sqref="AZ207">
    <cfRule type="cellIs" dxfId="79" priority="97" operator="between">
      <formula>36526</formula>
      <formula>402133</formula>
    </cfRule>
  </conditionalFormatting>
  <conditionalFormatting sqref="AZ209">
    <cfRule type="cellIs" dxfId="78" priority="2" operator="between">
      <formula>36526</formula>
      <formula>402133</formula>
    </cfRule>
  </conditionalFormatting>
  <conditionalFormatting sqref="AZ219">
    <cfRule type="cellIs" dxfId="77" priority="202" operator="between">
      <formula>36526</formula>
      <formula>402133</formula>
    </cfRule>
  </conditionalFormatting>
  <conditionalFormatting sqref="AZ223">
    <cfRule type="cellIs" dxfId="76" priority="94" operator="between">
      <formula>36526</formula>
      <formula>402133</formula>
    </cfRule>
  </conditionalFormatting>
  <conditionalFormatting sqref="AZ227">
    <cfRule type="cellIs" dxfId="75" priority="54" operator="between">
      <formula>36526</formula>
      <formula>402133</formula>
    </cfRule>
  </conditionalFormatting>
  <conditionalFormatting sqref="AZ243:AZ244">
    <cfRule type="cellIs" dxfId="74" priority="199" operator="between">
      <formula>36526</formula>
      <formula>402133</formula>
    </cfRule>
  </conditionalFormatting>
  <conditionalFormatting sqref="AZ261">
    <cfRule type="cellIs" dxfId="73" priority="654" operator="between">
      <formula>36526</formula>
      <formula>402133</formula>
    </cfRule>
  </conditionalFormatting>
  <conditionalFormatting sqref="AZ265">
    <cfRule type="cellIs" dxfId="72" priority="53" operator="between">
      <formula>36526</formula>
      <formula>402133</formula>
    </cfRule>
  </conditionalFormatting>
  <conditionalFormatting sqref="AZ267">
    <cfRule type="cellIs" dxfId="71" priority="198" operator="between">
      <formula>36526</formula>
      <formula>402133</formula>
    </cfRule>
  </conditionalFormatting>
  <conditionalFormatting sqref="AZ269">
    <cfRule type="cellIs" dxfId="70" priority="197" operator="between">
      <formula>36526</formula>
      <formula>402133</formula>
    </cfRule>
  </conditionalFormatting>
  <conditionalFormatting sqref="AZ271">
    <cfRule type="cellIs" dxfId="69" priority="52" operator="between">
      <formula>36526</formula>
      <formula>402133</formula>
    </cfRule>
  </conditionalFormatting>
  <conditionalFormatting sqref="AZ276">
    <cfRule type="cellIs" dxfId="68" priority="196" operator="between">
      <formula>36526</formula>
      <formula>402133</formula>
    </cfRule>
  </conditionalFormatting>
  <conditionalFormatting sqref="AZ278">
    <cfRule type="cellIs" dxfId="67" priority="195" operator="between">
      <formula>36526</formula>
      <formula>402133</formula>
    </cfRule>
  </conditionalFormatting>
  <conditionalFormatting sqref="AZ282">
    <cfRule type="cellIs" dxfId="66" priority="650" operator="between">
      <formula>36526</formula>
      <formula>402133</formula>
    </cfRule>
  </conditionalFormatting>
  <conditionalFormatting sqref="AZ329">
    <cfRule type="cellIs" dxfId="65" priority="194" operator="between">
      <formula>36526</formula>
      <formula>402133</formula>
    </cfRule>
  </conditionalFormatting>
  <conditionalFormatting sqref="AZ332:AZ333">
    <cfRule type="cellIs" dxfId="64" priority="29" operator="between">
      <formula>36526</formula>
      <formula>402133</formula>
    </cfRule>
  </conditionalFormatting>
  <conditionalFormatting sqref="AZ336">
    <cfRule type="cellIs" dxfId="63" priority="507" operator="between">
      <formula>36526</formula>
      <formula>402133</formula>
    </cfRule>
  </conditionalFormatting>
  <conditionalFormatting sqref="AZ344">
    <cfRule type="cellIs" dxfId="62" priority="506" operator="between">
      <formula>36526</formula>
      <formula>402133</formula>
    </cfRule>
  </conditionalFormatting>
  <conditionalFormatting sqref="AZ350">
    <cfRule type="cellIs" dxfId="61" priority="501" operator="between">
      <formula>36526</formula>
      <formula>402133</formula>
    </cfRule>
  </conditionalFormatting>
  <conditionalFormatting sqref="AZ364">
    <cfRule type="cellIs" dxfId="60" priority="502" operator="between">
      <formula>36526</formula>
      <formula>402133</formula>
    </cfRule>
  </conditionalFormatting>
  <conditionalFormatting sqref="AZ367">
    <cfRule type="cellIs" dxfId="59" priority="192" operator="between">
      <formula>36526</formula>
      <formula>402133</formula>
    </cfRule>
  </conditionalFormatting>
  <conditionalFormatting sqref="AZ371:AZ372">
    <cfRule type="cellIs" dxfId="58" priority="191" operator="between">
      <formula>36526</formula>
      <formula>402133</formula>
    </cfRule>
  </conditionalFormatting>
  <conditionalFormatting sqref="AZ376">
    <cfRule type="cellIs" dxfId="57" priority="190" operator="between">
      <formula>36526</formula>
      <formula>402133</formula>
    </cfRule>
  </conditionalFormatting>
  <conditionalFormatting sqref="AZ381">
    <cfRule type="cellIs" dxfId="56" priority="189" operator="between">
      <formula>36526</formula>
      <formula>402133</formula>
    </cfRule>
  </conditionalFormatting>
  <conditionalFormatting sqref="AZ389">
    <cfRule type="cellIs" dxfId="55" priority="35" operator="between">
      <formula>36526</formula>
      <formula>402133</formula>
    </cfRule>
  </conditionalFormatting>
  <conditionalFormatting sqref="AZ407">
    <cfRule type="cellIs" dxfId="54" priority="34" operator="between">
      <formula>36526</formula>
      <formula>402133</formula>
    </cfRule>
  </conditionalFormatting>
  <conditionalFormatting sqref="AZ412:AZ413">
    <cfRule type="cellIs" dxfId="53" priority="188" operator="between">
      <formula>36526</formula>
      <formula>402133</formula>
    </cfRule>
  </conditionalFormatting>
  <conditionalFormatting sqref="AZ416">
    <cfRule type="cellIs" dxfId="52" priority="33" operator="between">
      <formula>36526</formula>
      <formula>402133</formula>
    </cfRule>
  </conditionalFormatting>
  <conditionalFormatting sqref="AZ425:AZ426">
    <cfRule type="cellIs" dxfId="51" priority="187" operator="between">
      <formula>36526</formula>
      <formula>402133</formula>
    </cfRule>
  </conditionalFormatting>
  <conditionalFormatting sqref="AZ433">
    <cfRule type="cellIs" dxfId="50" priority="503" operator="between">
      <formula>36526</formula>
      <formula>402133</formula>
    </cfRule>
  </conditionalFormatting>
  <conditionalFormatting sqref="AZ488">
    <cfRule type="cellIs" dxfId="49" priority="32" operator="between">
      <formula>36526</formula>
      <formula>402133</formula>
    </cfRule>
  </conditionalFormatting>
  <conditionalFormatting sqref="AZ513">
    <cfRule type="cellIs" dxfId="48" priority="51" operator="between">
      <formula>36526</formula>
      <formula>402133</formula>
    </cfRule>
  </conditionalFormatting>
  <conditionalFormatting sqref="AZ564">
    <cfRule type="cellIs" dxfId="47" priority="31" operator="between">
      <formula>36526</formula>
      <formula>402133</formula>
    </cfRule>
  </conditionalFormatting>
  <conditionalFormatting sqref="AZ639:AZ640">
    <cfRule type="cellIs" dxfId="46" priority="88" operator="between">
      <formula>36526</formula>
      <formula>402133</formula>
    </cfRule>
  </conditionalFormatting>
  <conditionalFormatting sqref="AZ647">
    <cfRule type="cellIs" dxfId="45" priority="87" operator="between">
      <formula>36526</formula>
      <formula>402133</formula>
    </cfRule>
  </conditionalFormatting>
  <conditionalFormatting sqref="AZ652">
    <cfRule type="cellIs" dxfId="44" priority="86" operator="between">
      <formula>36526</formula>
      <formula>402133</formula>
    </cfRule>
  </conditionalFormatting>
  <conditionalFormatting sqref="AZ657">
    <cfRule type="cellIs" dxfId="43" priority="85" operator="between">
      <formula>36526</formula>
      <formula>402133</formula>
    </cfRule>
  </conditionalFormatting>
  <conditionalFormatting sqref="AZ677">
    <cfRule type="cellIs" dxfId="42" priority="83" operator="between">
      <formula>36526</formula>
      <formula>402133</formula>
    </cfRule>
  </conditionalFormatting>
  <conditionalFormatting sqref="AZ694">
    <cfRule type="cellIs" dxfId="41" priority="80" operator="between">
      <formula>36526</formula>
      <formula>402133</formula>
    </cfRule>
  </conditionalFormatting>
  <conditionalFormatting sqref="AZ714:AZ715">
    <cfRule type="cellIs" dxfId="40" priority="77" operator="between">
      <formula>36526</formula>
      <formula>402133</formula>
    </cfRule>
  </conditionalFormatting>
  <conditionalFormatting sqref="AZ721">
    <cfRule type="cellIs" dxfId="39" priority="76" operator="between">
      <formula>36526</formula>
      <formula>402133</formula>
    </cfRule>
  </conditionalFormatting>
  <conditionalFormatting sqref="BB1:BB871 BB873:BB1048576">
    <cfRule type="containsText" dxfId="38" priority="1398" operator="containsText" text="FINALIZADO">
      <formula>NOT(ISERROR(SEARCH("FINALIZADO",BB1)))</formula>
    </cfRule>
  </conditionalFormatting>
  <conditionalFormatting sqref="BD1:BD871">
    <cfRule type="cellIs" dxfId="37" priority="172" operator="equal">
      <formula>"INDENIZAÇÃO"</formula>
    </cfRule>
    <cfRule type="cellIs" dxfId="36" priority="173" operator="equal">
      <formula>"AA"</formula>
    </cfRule>
  </conditionalFormatting>
  <conditionalFormatting sqref="BD10:BD867">
    <cfRule type="cellIs" dxfId="35" priority="174" operator="equal">
      <formula>"FINALIZADO"</formula>
    </cfRule>
  </conditionalFormatting>
  <conditionalFormatting sqref="BD873:BD1048576">
    <cfRule type="cellIs" dxfId="34" priority="1372" operator="equal">
      <formula>"AA"</formula>
    </cfRule>
    <cfRule type="cellIs" dxfId="33" priority="1371" operator="equal">
      <formula>"INDENIZAÇÃO"</formula>
    </cfRule>
  </conditionalFormatting>
  <dataValidations count="11">
    <dataValidation allowBlank="1" showInputMessage="1" showErrorMessage="1" sqref="AO77 AO61:AO63 AO259:AO261 AO254 AS455:AT455 AO269 AO276 AV542:AW542 AY648:AY650 AO412:AO413 AV516:AW516 O621:O622 AO243 AO271 AT359:AT363 AT213:AT215 AO367 AV502 AA147:AA148 AQ11:AY11 AO266 AU259:AY259 AQ516:AT516 AQ505:AV506 AS537:AY537 AU276 AV557:AW557 AU104:AY104 AW534:AX534 AA158 AO363:AO365 AQ420 AT217:AT218 AO202:AO204 AA176 AO218 AO209:AO211 AO273 AQ65:AR66 AA427 AO230:AO232 AU577 AU638:AW638 AY390:AY406 AY524:AY527 AA418 O616:O619 AT595 AO257 AQ454:AV454 AT598:AU598 AV418:AV427 AJ65:AK65 AV273:AV277 AW491:AW508 AQ337:AR342 AA42:AA45 AQ528:AY528 AS252:AT257 AT406:AT408 AO161 AQ562:AQ563 AY693 AJ623:AJ628 AJ10:AJ64 AQ626 AA40 AQ203:AV203 AA15:AA20 AA471:AA475 AJ476:AK476 AQ302 AA112 AA114 AA124:AA125 AV22:AW24 AA140 AA143 AA145 AA306:AA308 AS375 AQ481:AR481 AQ43:AR44 AS557:AT557 AT274:AT279 AS272:AU272 AV299:AX300 AA267:AA301 AA310:AA317 AA321 AQ252:AR254 AV204:AV205 AQ411:AR413 AY529:AY536 AY489:AY490 AQ630:AV630 AT517:AY517 AQ26:AR28 AU395:AU397 AU302 AS391 AS570 AT600:AU600 AQ209 AV523:AY523 AT287:AX291 AQ291 AT281:AT285 AQ349:AR349 AQ354:AQ357 AW599:AY599 AQ30:AR32 AQ34:AR36 AQ41:AR41 AQ70:AR73 AQ75:AR79 AQ81:AR86 AQ90:AR90 AQ94:AR98 AR184:AR187 AQ201 BI318:BK322 AQ210:AR211 AQ664 AQ231:AQ234 AQ237:AS237 AQ256:AR257 AQ259:AQ263 AQ273:AR275 AQ277:AS277 AQ284:AR284 AQ286:AQ289 AQ303:AR305 AJ724:AJ867 AS303:AX314 AQ174:AR177 AQ278:AQ282 AQ335:AR335 AS349:AV352 AQ344:AQ347 AQ190:AR191 AQ351 AQ213:AR214 AQ365:AR365 AQ375 AQ193:AR200 AU390:AU391 AQ455 AU273:AU274 AQ735 AY734:AZ734 AS577 AZ582:AZ583 AY591:AZ591 AZ594 AY600:AZ600 AZ606:AZ608 AY684:AZ684 AY690:AZ690 AY692:AZ692 AA334:AA344 AA477:AA478 AA389:AA396 AQ471:AS472 AS40:AT46 AR355:AR357 AQ14:AQ15 AQ23:AQ24 AR287:AS289 AQ29 AQ33 AQ37 AQ40 AQ42 AQ45 AQ64 AQ74 AQ80 AQ87:AQ89 AQ91:AQ93 AO170 AQ188:AR188 AQ202:AR202 AQ235:AR235 AR281:AR282 AQ297:AR297 AQ293:AQ296 AR346:AR347 AQ352:AR352 AQ269:AQ271 AR379:AR384 AQ512 AQ518 AQ533 AQ542 AQ558 AQ567:AQ568 AQ570 AQ577 AQ370:AR373 AQ204:AR205 AQ595 AY592:AY593 AQ647:AQ648 AS473 AY671:AY676 AQ693:AQ694 AW577:AY577 AV280:AV285 AZ104:AZ105 AW272:AY272 AU278:AU285 AS273:AS276 AS395:AS404 AS432:AT432 AV549:AX550 AQ25:AZ25 AY601:AY603 AQ264:AS264 AS279:AS286 AA451:AA453 AY621 AQ22:AS22 AT533:AU533 AT541:AZ541 AW298 AS661:AV661 AO166:AO168 AY765:AY785 AQ131:AS131 AT271:AW271 AQ360:AR363 AT10:AY10 AQ10:AR10 AT522:AT523 AY660 AQ501:AU502 AY623:AY624 AT633:AU633 AT674:AU674 AS149:AS163 AU265:AU269 AQ582:AW582 AS715:AW715 AV673:AW673 AA445:AA447 AU471:AV472 AU262:AY262 AR260:AS263 AT484:AY484 AV292:AW297 AT207:AZ207 AQ464:AR464 AA696 AR150:AR163 AQ466:AR468 AT433:AV434 AR433:AS433 AY572 AQ46:AR46 AA499:AA501 AQ53:AR63 AQ50:AT52 AQ68:AS69 AS481:AU482 AQ606:AQ608 AV105:AY105 AQ47 AY201:AZ206 AV199 AQ243:AR250 AQ239:AR241 AU249:AU250 AU252:AU256 AS242:AT250 AT259:AT263 AV213:AY214 AQ307:AR314 AQ550:AT550 AS354:AU357 AV353:AV357 AV176:AV181 AQ358:AZ358 AW49:AW53 AQ367:AR367 AT398:AU404 AU407:AZ407 AQ442:AQ443 AR138:AR147 AQ422:AR429 AQ378:AQ384 AX292:AX298 AY627:AY632 AY634 AQ636:AZ636 AT200:AZ200 AT265:AT270 AS409:AS413 AQ99:AQ111 AS222:AS226 AQ216:AR218 AQ219 AQ552 AV573:AY574 AT333:AV348 AV263:AY263 AY492:AZ512 BI116:BK116 AA117:AA118 AA108:AA110 AT49:AV49 AT155:AT158 AS113:AT114 AA248:AA265 AA184:AA218 AO250:AO252 AJ668 AA431:AA433 AA435:AA437 AA398:AA416 AA455:AA456 AA459:AA461 AA463 AA466 AA468 AA485:AA488 AA490:AA492 AA494:AA496 AS23 AA503:AA504 AA506 AS236 AU264:AZ264 AU372:AV372 AY653:AY654 AS657 AQ572:AV572 AQ207:AS208 AQ430:AV430 AS359:AS367 AQ132:AT132 AW607:AX607 AT487 AS108:AT111 AU107:AX111 AT609:AX609 AS204:AU206 AS553 AS54:AX66 AQ332:AQ333 AS210:AS218 AQ164:AR167 AQ655 AQ265 AQ329:AR331 AS269 AQ657 AV390:AV403 AR442:AS442 AR270:AS270 AT428:AV429 BI22 BI136:BI137 AV227:AV232 BI197 AU424:AU427 AQ48:AT48 AU50:AV53 AX148:AX149 AA441 AS179:AS181 AU224 AT222:AT224 AS241:AU241 AV235:AV250 AS228:AS230 AX116:AZ116 AU242:AU247 AT332:AU332 AT365 AQ327:AV328 AS485:AT486 AT366:AW367 AT375:AV376 AY664:AY668 AW578:AW581 AU40:AW48 AU106:AZ106 AX301:AX302 AT149:AT150 AT472:AT473 AY722 AZ514:AZ540 AA11 AA13 AA22:AA24 AA26 AA28:AA38 AA47:AA56 AA58:AA69 AA71:AA106 AA181:AA182 AJ66:AJ475 AA303:AA304 AA324:AA332 P98:W98 BI157:BL157 AS169:AS177 AT225:AV226 AQ316:AS316 AU359:AW365 AU438 AT418 AQ495:AV498 AW239:AY250 AZ259:AZ263 AQ483:AW483 AS118:AZ118 AW203:AX206 AU215:AY218 AQ220:AZ221 AU227:AU240 AW273:AX286 AT371:AZ371 AS369:AZ370 AA421 AP421:AR421 AT329:AV331 AT316:AV317 AS372:AS373 AT373:AV373 AQ386:AR397 AQ432:AQ434 AV439:AV440 AQ438:AS440 AT442:AV444 AQ447:AV447 AQ449:AV451 BI224:BK225 AJ610:AJ613 AJ615:AJ616 AJ618:AJ619 AJ621 AJ630:AJ632 AJ634 AJ636:AJ637 AJ641:AJ646 AJ648:AJ650 AJ653:AJ654 AJ658:AJ666 AJ670:AJ712 AJ716:AJ720 AJ722 AQ299:AQ300 AT463:AX463 AQ180:AR181 AY276:AZ300 AA133:AA134 BI379:BK379 AU113:AX115 AU292:AU300 AQ522:AS522 AQ583:AQ587 AQ661 AT22:AT24 AT227:AT234 AX579 AY359:AZ368 BK158:BK159 AU159 AS326:AW326 AV481 AQ38:AY39 AQ251:AZ251 O11:O376 AS201:AX202 AY273:AY275 AZ26:AZ53 AX40:AY53 AY228:AY238 BI176:BL176 AS26:AY37 AU222:AZ223 AT67:AX69 AQ491:AV492 AY463:AY481 AY538:AY540 AY646:AZ646 AV265:AW270 AS329:AS348 AS512:AV512 AW159:AX159 BJ211:BL211 AW327:AW357 BI209:BI211 BI88:BI94 BI99:BL99 BI133:BL134 BI139:BL139 BI142:BL142 BI149:BK149 BI172:BI174 E10:E806 BI358:BL358 BI303:BL303 BI200:BL200 BI195:BL195 AQ463 BI620:BK620 AU20:AU24 AU116:AU117 AT420:AT427 AX489:AX508 AV20:AW20 AV260:AY261 AW570:AY570 AT651:AX651 AY54:AZ68 AW185:AZ199 AW227:AX238 AX326:AX357 AW21 AY107:AZ115 AY565:AZ567 BJ136:BL136 BI164:BL165 AT293:AT300 AQ222:AR229 AT236:AT240 AS238:AS240 AQ267:AS267 AS291:AS302 AW102:AW103 AQ475:AS476 BJ88:BL89 BJ91:BL93 BJ172:BL173 BI191:BL193 AQ592:AQ593 AQ409:AR409 AQ465 AU148:AU149 AR416:AR418 AT160:AT161 AQ321:AV321 AR14:AX14 AX20:AX24 AU13:AW13 AW70:AW100 AY164:AZ183 AT219:AZ219 AQ258:AZ258 AV252:AZ257 AQ315:AX315 AX359:AX367 AQ368:AX368 AR171:AR172 AY514:AY516 AY518:AY522 AQ555:AX555 AQ545:AX546 AS416:AS429 AT565:AX566 AS569:AZ569 AY568 AQ575:AZ576 AY578 AY807:AY977 AW598:AZ598 AT604:AZ605 AY595:AY597 AV611:AY611 AY610 AY612:AY613 AY615:AY619 AQ625:AZ625 AW628:AX630 AZ628:AZ630 AQ632:AX632 AZ632 AQ644:AZ644 AY641:AY643 AY645 AT655:AY655 AW659:AY659 AY658 AW663:AZ663 AY662 AQ670:AY670 AW689:AZ689 AY682:AZ682 AY679:AY681 AY683 AY685:AY688 AY691 AW695:AY695 AY696:AY712 AY716:AY720 AW762:AZ762 AY724:AY733 AY735:AY761 AY763 AS787:AY787 AY483 AV117:AZ117 AS513:AZ513 AY227:AZ227 AW224:AZ226 AZ228:AZ250 AZ272:AZ275 AX265:AZ271 AT208:AY212 AT324:AX325 AT301:AW301 AY12:AY24 AV149:AW149 AU414:AW415 AZ10:AZ24 BK24 BK39 BK46 BK48:BK49 BK53 BK69 BK113 BI106:BK106 BK126 BK128:BK129 BK132 BK138 BK140 BK144 BK151:BK156 BK199 BK194 BK182:BK185 BK177:BK179 BK170 AZ70:AZ99 AQ323:AS325 AW316:AX321 AT184:AZ184 AS463:AS464 BK332 AQ414:AQ418 AQ459:AV461 AQ456:AV457 AW160:AZ161 AY148:AZ158 BJ101:BK101 BI120:BK120 BI239:BK239 BI249:BK249 BI251:BK251 BI255:BK255 BI257:BK257 BI260:BK260 BI273:BK273 BI298:BK298 BI345:BK345 BI353:BK353 BI392:BK392 BI400:BK400 BI429:BK429 BI715:BK715 AS564:AZ564 AU150:AX158 AU485:AY487 AS406 AR587 AR593 AQ484:AQ489 AR485:AR489 AS488:AS489 AU489:AW489 AS654:AX654 AS183:AV183 AV185:AV197 AZ385:AZ406 AW390:AX404 AY587:AY590 AZ416:AZ490 AT410:AT416 AY543:AZ563 AT488:AY488 AQ407:AS407 AQ133:AQ136 AY324:AY331 AZ301:AZ331 AY332:AZ357 AS190:AS200 AJ477:AJ608 AS586:AW586 AU176:AU182 AY788:AY804 AY580:AY585 AW372:AZ383 AW176:AW183 AY301:AY321 AU552:AW552 AT322:AY323 AZ209:AZ218 BI13:BK13 BI19 BI102 BI117 BI150 BI159:BJ159 BI162:BK162 BI182:BJ182 BI203:BK203 BI207:BK207 BI213:BK213 BI215:BK215 BI218:BK218 BI222:BK222 AA346:AA387 BC10:BC867 AS377:AS389 AQ130:AT130 AA244:AA246 AQ138:AQ163 AS127:AT129 AT563:AW563 BJ21:BK21 BJ209:BK209 BJ156 AW418:AW462 AQ183:AQ187 AT139:AT142 AV384:AW384 AT70:AT106 AX70:AY103 AT144:AW147 AT378:AT397 AU416:AU422 AV409:AV413 AU408:AU413 AU405:AX406 AW469:AW481 AQ113:AR118 AQ120:AR129 AR100:AR111 AU169:AX169 AQ168:AQ173 AZ101:AZ102 AT163:AY163 AS121:AT125 AT478:AV480 AQ119:AY119 AU120:AZ125 AR133:AR135 AZ134 AS126:AY126 AZ136:AZ146 AS133:AS147 AU127:AZ132 AY162:AZ162 AU160:AV162 AS164:AX168 AS71:AS105 AU70:AV103 AU133:AY136 AT133:AT137 AR169 AT169:AT181 AS184:AS188 AT185:AU199 AQ399:AR406 AU385:AY389 AS405:AT405 AS466:AS469 AT467 AT474:AV476 AS592:AT592 AQ478:AS479 AX137:AY147 AU137:AW143 AX170:AX183 AU170:AW175 AU377:AU384 AV377:AV383 AX408:AZ415 AW408:AW413 AX416:AY462 AV416:AW417 AX464:AX483 AT464:AW464 AU465:AW468 AQ805:AW806" xr:uid="{42DBC0A4-72CF-48C5-9B14-5B05F91E4FAB}"/>
    <dataValidation type="list" allowBlank="1" showInputMessage="1" showErrorMessage="1" sqref="AL817:AL821" xr:uid="{FC338056-ACD7-4B60-BE17-230AB65D0C75}">
      <formula1>$AL$1:$AL$3</formula1>
    </dataValidation>
    <dataValidation type="list" allowBlank="1" showInputMessage="1" showErrorMessage="1" sqref="AM618 AM592:AM598 AM474:AM476 AM459:AM461 AM432:AM434 AM438:AM440 AM442:AM444 AM447 AM449:AM451 AM454:AM457 AM390:AM430 AM478:AM489 AM471:AM472 AM512:AM555 AM491:AM492 AM495:AM498 AM501:AM502 AM505:AM506 AM561:AM577 AM557:AM559 AM463:AM469 AM580:AM587 AM787:AM819 AM600 AM604:AM611 AM615 AM621:AM627 AM630 AM632:AM634 AM636 AM638:AM649 AM651:AM662 AM664:AM666 AM670:AM679 AM681 AM688 AM693:AM699 AM703 AM710 AM713:AM719 AM722 AM724:AM725 AM727:AM731 AM735 AM738 AM744:AM746 AM752 AM757:AM758 AM765 AM773 AM776:AM777 AM784 AM321:AM373 AM10:AM317 AM375:AM388" xr:uid="{D0DFD1A8-7E27-4525-88D7-D80EA2E2161F}">
      <formula1>$AM$1:$AM$2</formula1>
    </dataValidation>
    <dataValidation type="list" allowBlank="1" showInputMessage="1" showErrorMessage="1" sqref="AN618 AN459:AN461 AN474:AN476 AN592:AN598 AN432:AN434 AN438:AN440 AN442:AN444 AN447 AN449:AN451 AN454:AN457 AN126:AN317 AN478:AN489 AN471:AN472 AN512:AN555 AN124 AN495:AN498 AN501:AN502 AN505:AN506 AN561:AN577 AN557:AN559 AN463:AN469 AN580:AN587 AN787:AN837 AN600 AN604:AN611 AN615 AN621:AN627 AN630 AN632:AN634 AN636 AN638:AN649 AN651:AN662 AN664:AN666 AN670:AN679 AN681 AN688 AN693:AN699 AN703 AN710 AN713:AN719 AN722 AN724:AN725 AN727:AN731 AN735 AN738 AN744:AN746 AN752 AN757:AN758 AN765 AN773 AN776:AN777 AN784 AN491:AN492 AN390:AN430 AN321:AN373 AN10:AN122 AN375:AN388" xr:uid="{F152C8C0-68BC-4BA3-90C4-32F95453CD5C}">
      <formula1>$AN$1:$AN$5</formula1>
    </dataValidation>
    <dataValidation type="list" allowBlank="1" showInputMessage="1" showErrorMessage="1" sqref="AL618 AL459:AL461 AL390:AL430 AL321:AL373 AL432:AL434 AL438:AL440 AL442:AL444 AL447 AL449:AL451 AL454:AL457 AL512:AL555 AL474:AL476 AL471:AL472 AN125 AL592:AL598 AL495:AL498 AL501:AL502 AL505:AL506 AL561:AL577 AL557:AL559 AL463:AL469 AL580:AL587 AL787:AL816 AL600 AL604:AL611 AL615 AL621:AL627 AL630 AL632:AL634 AL636 AL638:AL649 AL651:AL662 AL664:AL666 AL670:AL679 AL681 AL688 AL693:AL699 AL703 AL710 AL713:AL719 AL722 AL724:AL725 AL727:AL731 AL735 AL738 AL744:AL746 AL752 AL757:AL758 AL765 AL773 AL776:AL777 AL784 AL478:AL492 AP490:AW490 AN123 AM490:AN490 AL10:AL317 AL375:AL388" xr:uid="{79E2497D-3A91-4234-A0FE-52A3EF25CA90}">
      <formula1>$AL$1:$AL$6</formula1>
    </dataValidation>
    <dataValidation type="list" allowBlank="1" showInputMessage="1" showErrorMessage="1" sqref="AF522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hyperlinks>
    <hyperlink ref="AK173" r:id="rId1" display="146667845;" xr:uid="{2195CD71-5EAA-4A58-82BC-68502B00BF94}"/>
    <hyperlink ref="AK608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2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24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7803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>
      <c r="A6" s="241" t="s">
        <v>4431</v>
      </c>
      <c r="B6" s="241" t="s">
        <v>4350</v>
      </c>
      <c r="C6" s="241" t="s">
        <v>4916</v>
      </c>
      <c r="D6" s="242" t="s">
        <v>4917</v>
      </c>
      <c r="E6" s="243">
        <v>46226</v>
      </c>
    </row>
    <row r="7" spans="1:5" ht="20.25" customHeight="1">
      <c r="A7" s="241" t="s">
        <v>4431</v>
      </c>
      <c r="B7" s="241" t="s">
        <v>4350</v>
      </c>
      <c r="C7" s="241" t="s">
        <v>4921</v>
      </c>
      <c r="D7" s="242" t="s">
        <v>4929</v>
      </c>
      <c r="E7" s="243">
        <v>46226</v>
      </c>
    </row>
    <row r="8" spans="1:5" ht="20.25" customHeight="1">
      <c r="A8" s="241" t="s">
        <v>4431</v>
      </c>
      <c r="B8" s="241" t="s">
        <v>4439</v>
      </c>
      <c r="C8" s="241" t="s">
        <v>4950</v>
      </c>
      <c r="D8" s="278" t="s">
        <v>4951</v>
      </c>
      <c r="E8" s="243">
        <v>46226</v>
      </c>
    </row>
    <row r="9" spans="1:5" ht="20.25" customHeight="1">
      <c r="A9" s="241" t="s">
        <v>4431</v>
      </c>
      <c r="B9" s="241" t="s">
        <v>4439</v>
      </c>
      <c r="C9" s="241" t="s">
        <v>5012</v>
      </c>
      <c r="D9" s="242" t="s">
        <v>5013</v>
      </c>
      <c r="E9" s="243">
        <v>46226</v>
      </c>
    </row>
    <row r="10" spans="1:5" ht="20.25" customHeight="1">
      <c r="A10" s="241" t="s">
        <v>4431</v>
      </c>
      <c r="B10" s="241" t="s">
        <v>4448</v>
      </c>
      <c r="C10" s="241" t="s">
        <v>5156</v>
      </c>
      <c r="D10" s="242" t="s">
        <v>5161</v>
      </c>
      <c r="E10" s="243">
        <v>46226</v>
      </c>
    </row>
    <row r="11" spans="1:5" ht="20.25" customHeight="1">
      <c r="A11" s="241" t="s">
        <v>4431</v>
      </c>
      <c r="B11" s="241" t="s">
        <v>4448</v>
      </c>
      <c r="C11" s="241" t="s">
        <v>6062</v>
      </c>
      <c r="D11" s="242" t="s">
        <v>6063</v>
      </c>
      <c r="E11" s="243">
        <v>46226</v>
      </c>
    </row>
    <row r="12" spans="1:5" ht="20.25" customHeight="1">
      <c r="A12" s="241" t="s">
        <v>4431</v>
      </c>
      <c r="B12" s="241" t="s">
        <v>4448</v>
      </c>
      <c r="C12" s="241" t="s">
        <v>6077</v>
      </c>
      <c r="D12" s="242" t="s">
        <v>6078</v>
      </c>
      <c r="E12" s="243">
        <v>46226</v>
      </c>
    </row>
    <row r="13" spans="1:5" ht="20.25" customHeight="1">
      <c r="A13" s="241" t="s">
        <v>4431</v>
      </c>
      <c r="B13" s="241" t="s">
        <v>4448</v>
      </c>
      <c r="C13" s="241" t="s">
        <v>6148</v>
      </c>
      <c r="D13" s="242" t="s">
        <v>6152</v>
      </c>
      <c r="E13" s="243">
        <v>46226</v>
      </c>
    </row>
    <row r="14" spans="1:5" ht="20.25" customHeight="1">
      <c r="A14" s="241" t="s">
        <v>4431</v>
      </c>
      <c r="B14" s="241" t="s">
        <v>4448</v>
      </c>
      <c r="C14" s="241" t="s">
        <v>6188</v>
      </c>
      <c r="D14" s="242" t="s">
        <v>6193</v>
      </c>
      <c r="E14" s="243">
        <v>46226</v>
      </c>
    </row>
    <row r="15" spans="1:5" ht="20.25" customHeight="1">
      <c r="A15" s="241" t="s">
        <v>4431</v>
      </c>
      <c r="B15" s="241" t="s">
        <v>4439</v>
      </c>
      <c r="C15" s="241" t="s">
        <v>6188</v>
      </c>
      <c r="D15" s="242" t="s">
        <v>6197</v>
      </c>
      <c r="E15" s="243">
        <v>46226</v>
      </c>
    </row>
    <row r="16" spans="1:5" ht="20.25" customHeight="1">
      <c r="A16" s="241" t="s">
        <v>4431</v>
      </c>
      <c r="B16" s="241" t="s">
        <v>4439</v>
      </c>
      <c r="C16" s="241" t="s">
        <v>6201</v>
      </c>
      <c r="D16" s="278" t="s">
        <v>6205</v>
      </c>
      <c r="E16" s="243">
        <v>46226</v>
      </c>
    </row>
    <row r="17" spans="1:5" ht="20.25" customHeight="1">
      <c r="A17" s="241" t="s">
        <v>4431</v>
      </c>
      <c r="B17" s="241" t="s">
        <v>4439</v>
      </c>
      <c r="C17" s="241" t="s">
        <v>6407</v>
      </c>
      <c r="D17" s="242" t="s">
        <v>6408</v>
      </c>
      <c r="E17" s="243">
        <v>46226</v>
      </c>
    </row>
    <row r="18" spans="1:5" ht="20.25" customHeight="1">
      <c r="A18" s="241" t="s">
        <v>4431</v>
      </c>
      <c r="B18" s="241" t="s">
        <v>4439</v>
      </c>
      <c r="C18" s="241" t="s">
        <v>6420</v>
      </c>
      <c r="D18" s="242" t="s">
        <v>6421</v>
      </c>
      <c r="E18" s="243">
        <v>46226</v>
      </c>
    </row>
    <row r="19" spans="1:5" ht="20.25" customHeight="1">
      <c r="A19" s="241" t="s">
        <v>4431</v>
      </c>
      <c r="B19" s="241" t="s">
        <v>4439</v>
      </c>
      <c r="C19" s="241" t="s">
        <v>6504</v>
      </c>
      <c r="D19" s="242" t="s">
        <v>6505</v>
      </c>
      <c r="E19" s="243">
        <v>46226</v>
      </c>
    </row>
    <row r="20" spans="1:5" ht="20.25" customHeight="1">
      <c r="A20" s="241" t="s">
        <v>4431</v>
      </c>
      <c r="B20" s="241" t="s">
        <v>4439</v>
      </c>
      <c r="C20" s="241" t="s">
        <v>6753</v>
      </c>
      <c r="D20" s="278" t="s">
        <v>6757</v>
      </c>
      <c r="E20" s="243">
        <v>46226</v>
      </c>
    </row>
    <row r="21" spans="1:5" ht="20.25" customHeight="1">
      <c r="A21" s="241" t="s">
        <v>4431</v>
      </c>
      <c r="B21" s="241" t="s">
        <v>4439</v>
      </c>
      <c r="C21" s="241" t="s">
        <v>6794</v>
      </c>
      <c r="D21" s="278" t="s">
        <v>6799</v>
      </c>
      <c r="E21" s="243">
        <v>46226</v>
      </c>
    </row>
    <row r="22" spans="1:5" ht="20.25" customHeight="1">
      <c r="A22" s="241" t="s">
        <v>4431</v>
      </c>
      <c r="B22" s="241" t="s">
        <v>4448</v>
      </c>
      <c r="C22" s="241" t="s">
        <v>6886</v>
      </c>
      <c r="D22" s="242" t="s">
        <v>6887</v>
      </c>
      <c r="E22" s="243">
        <v>46226</v>
      </c>
    </row>
    <row r="23" spans="1:5" ht="20.25" customHeight="1">
      <c r="A23" s="241" t="s">
        <v>4431</v>
      </c>
      <c r="B23" s="241" t="s">
        <v>4448</v>
      </c>
      <c r="C23" s="241" t="s">
        <v>7794</v>
      </c>
      <c r="D23" s="242" t="s">
        <v>7795</v>
      </c>
      <c r="E23" s="243">
        <v>46226</v>
      </c>
    </row>
    <row r="24" spans="1:5" ht="20.25" customHeight="1">
      <c r="A24" s="241" t="s">
        <v>4431</v>
      </c>
      <c r="B24" s="241" t="s">
        <v>4448</v>
      </c>
      <c r="C24" s="241" t="s">
        <v>7798</v>
      </c>
      <c r="D24" s="278" t="s">
        <v>7799</v>
      </c>
      <c r="E24" s="243">
        <v>46226</v>
      </c>
    </row>
    <row r="25" spans="1:5" ht="20.25" customHeight="1">
      <c r="A25" s="128"/>
      <c r="B25" s="128"/>
      <c r="C25" s="128"/>
      <c r="D25" s="215"/>
      <c r="E25" s="216"/>
    </row>
    <row r="26" spans="1:5" ht="20.25" customHeight="1">
      <c r="A26" s="120"/>
      <c r="B26" s="120"/>
      <c r="C26" s="120"/>
      <c r="D26" s="121"/>
      <c r="E26" s="213"/>
    </row>
    <row r="27" spans="1:5" ht="20.25" customHeight="1">
      <c r="A27" s="120"/>
      <c r="B27" s="120"/>
      <c r="C27" s="120"/>
      <c r="D27" s="121"/>
      <c r="E27" s="213"/>
    </row>
    <row r="28" spans="1:5" ht="20.25" customHeight="1">
      <c r="A28" s="120"/>
      <c r="B28" s="120"/>
      <c r="C28" s="120"/>
      <c r="D28" s="123"/>
      <c r="E28" s="213"/>
    </row>
    <row r="29" spans="1:5" ht="20.25" customHeight="1">
      <c r="A29" s="120"/>
      <c r="B29" s="120"/>
      <c r="C29" s="120"/>
      <c r="D29" s="123"/>
      <c r="E29" s="213"/>
    </row>
    <row r="30" spans="1:5" ht="20.25" customHeight="1">
      <c r="A30" s="120"/>
      <c r="B30" s="120"/>
      <c r="C30" s="120"/>
      <c r="D30" s="121"/>
      <c r="E30" s="213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7804</v>
      </c>
      <c r="B46" s="120"/>
      <c r="C46" s="120" t="s">
        <v>7805</v>
      </c>
      <c r="D46" s="120" t="s">
        <v>7806</v>
      </c>
      <c r="E46" s="105">
        <v>44961</v>
      </c>
    </row>
    <row r="47" spans="1:5" ht="20.25" customHeight="1">
      <c r="A47" s="120" t="s">
        <v>7804</v>
      </c>
      <c r="B47" s="120"/>
      <c r="C47" s="120" t="s">
        <v>7807</v>
      </c>
      <c r="D47" s="120" t="s">
        <v>7808</v>
      </c>
      <c r="E47" s="105">
        <v>44923</v>
      </c>
    </row>
    <row r="48" spans="1:5" ht="20.25" customHeight="1">
      <c r="A48" s="120" t="s">
        <v>7804</v>
      </c>
      <c r="B48" s="120"/>
      <c r="C48" s="120" t="s">
        <v>7809</v>
      </c>
      <c r="D48" s="120" t="s">
        <v>7810</v>
      </c>
      <c r="E48" s="119">
        <v>45013</v>
      </c>
    </row>
    <row r="49" spans="1:5" ht="20.25" customHeight="1">
      <c r="A49" s="120" t="s">
        <v>7804</v>
      </c>
      <c r="B49" s="120"/>
      <c r="C49" s="120" t="s">
        <v>7811</v>
      </c>
      <c r="D49" s="120" t="s">
        <v>7812</v>
      </c>
      <c r="E49" s="108">
        <v>45148</v>
      </c>
    </row>
    <row r="50" spans="1:5" ht="20.25" customHeight="1">
      <c r="A50" s="120" t="s">
        <v>7804</v>
      </c>
      <c r="B50" s="120"/>
      <c r="C50" s="120" t="s">
        <v>7813</v>
      </c>
      <c r="D50" s="120" t="s">
        <v>7814</v>
      </c>
      <c r="E50" s="107"/>
    </row>
    <row r="51" spans="1:5" ht="20.25" customHeight="1">
      <c r="A51" s="120" t="s">
        <v>7804</v>
      </c>
      <c r="B51" s="120"/>
      <c r="C51" s="120" t="s">
        <v>7815</v>
      </c>
      <c r="D51" s="120" t="s">
        <v>7816</v>
      </c>
      <c r="E51" s="103"/>
    </row>
    <row r="52" spans="1:5" ht="20.25" customHeight="1">
      <c r="A52" s="120" t="s">
        <v>7804</v>
      </c>
      <c r="B52" s="120"/>
      <c r="C52" s="120" t="s">
        <v>7817</v>
      </c>
      <c r="D52" s="120" t="s">
        <v>7818</v>
      </c>
      <c r="E52" s="107"/>
    </row>
    <row r="53" spans="1:5" ht="20.25" customHeight="1">
      <c r="A53" s="120" t="s">
        <v>7804</v>
      </c>
      <c r="B53" s="120"/>
      <c r="C53" s="120" t="s">
        <v>7819</v>
      </c>
      <c r="D53" s="120" t="s">
        <v>7820</v>
      </c>
      <c r="E53" s="107"/>
    </row>
    <row r="54" spans="1:5" ht="20.25" customHeight="1">
      <c r="A54" s="120" t="s">
        <v>7804</v>
      </c>
      <c r="B54" s="120"/>
      <c r="C54" s="120" t="s">
        <v>7821</v>
      </c>
      <c r="D54" s="120" t="s">
        <v>7822</v>
      </c>
      <c r="E54" s="103"/>
    </row>
    <row r="55" spans="1:5" ht="20.25" customHeight="1">
      <c r="A55" s="120" t="s">
        <v>7804</v>
      </c>
      <c r="B55" s="120"/>
      <c r="C55" s="120" t="s">
        <v>7823</v>
      </c>
      <c r="D55" s="120" t="s">
        <v>7824</v>
      </c>
      <c r="E55" s="103"/>
    </row>
    <row r="56" spans="1:5" ht="20.25" customHeight="1">
      <c r="A56" s="120" t="s">
        <v>7804</v>
      </c>
      <c r="B56" s="120"/>
      <c r="C56" s="120" t="s">
        <v>7825</v>
      </c>
      <c r="D56" s="120" t="s">
        <v>7826</v>
      </c>
      <c r="E56" s="109"/>
    </row>
    <row r="57" spans="1:5" ht="20.25" customHeight="1">
      <c r="A57" s="120" t="s">
        <v>7804</v>
      </c>
      <c r="B57" s="120"/>
      <c r="C57" s="120" t="s">
        <v>7827</v>
      </c>
      <c r="D57" s="120" t="s">
        <v>7828</v>
      </c>
      <c r="E57" s="105">
        <v>45056</v>
      </c>
    </row>
    <row r="58" spans="1:5" ht="20.25" customHeight="1">
      <c r="A58" s="120" t="s">
        <v>7804</v>
      </c>
      <c r="B58" s="120"/>
      <c r="C58" s="120" t="s">
        <v>7829</v>
      </c>
      <c r="D58" s="120" t="s">
        <v>7830</v>
      </c>
      <c r="E58" s="119">
        <v>45013</v>
      </c>
    </row>
    <row r="59" spans="1:5" ht="20.25" customHeight="1">
      <c r="A59" s="120" t="s">
        <v>7804</v>
      </c>
      <c r="B59" s="120"/>
      <c r="C59" s="120" t="s">
        <v>7831</v>
      </c>
      <c r="D59" s="120" t="s">
        <v>7832</v>
      </c>
      <c r="E59" s="105">
        <v>45097</v>
      </c>
    </row>
    <row r="60" spans="1:5" ht="20.25" customHeight="1">
      <c r="A60" s="120" t="s">
        <v>7804</v>
      </c>
      <c r="B60" s="120"/>
      <c r="C60" s="120" t="s">
        <v>7833</v>
      </c>
      <c r="D60" s="120" t="s">
        <v>7834</v>
      </c>
      <c r="E60" s="105">
        <v>44816</v>
      </c>
    </row>
    <row r="61" spans="1:5" ht="20.25" customHeight="1">
      <c r="A61" s="120" t="s">
        <v>7804</v>
      </c>
      <c r="B61" s="120"/>
      <c r="C61" s="120" t="s">
        <v>7835</v>
      </c>
      <c r="D61" s="120" t="s">
        <v>7836</v>
      </c>
      <c r="E61" s="103"/>
    </row>
    <row r="62" spans="1:5" ht="20.25" customHeight="1">
      <c r="A62" s="120" t="s">
        <v>7804</v>
      </c>
      <c r="B62" s="120"/>
      <c r="C62" s="120" t="s">
        <v>7837</v>
      </c>
      <c r="D62" s="120" t="s">
        <v>7838</v>
      </c>
      <c r="E62" s="103" t="s">
        <v>4357</v>
      </c>
    </row>
    <row r="63" spans="1:5" ht="20.25" customHeight="1">
      <c r="A63" s="120" t="s">
        <v>7804</v>
      </c>
      <c r="B63" s="120"/>
      <c r="C63" s="120" t="s">
        <v>7839</v>
      </c>
      <c r="D63" s="120" t="s">
        <v>7840</v>
      </c>
      <c r="E63" s="103"/>
    </row>
    <row r="64" spans="1:5" ht="20.25" customHeight="1">
      <c r="A64" s="120" t="s">
        <v>7804</v>
      </c>
      <c r="B64" s="120"/>
      <c r="C64" s="120" t="s">
        <v>7841</v>
      </c>
      <c r="D64" s="120" t="s">
        <v>7842</v>
      </c>
      <c r="E64" s="103"/>
    </row>
    <row r="65" spans="1:5" ht="20.25" customHeight="1">
      <c r="A65" s="120" t="s">
        <v>7804</v>
      </c>
      <c r="B65" s="120"/>
      <c r="C65" s="120" t="s">
        <v>7843</v>
      </c>
      <c r="D65" s="120" t="s">
        <v>7844</v>
      </c>
      <c r="E65" s="105">
        <v>44877</v>
      </c>
    </row>
    <row r="66" spans="1:5" ht="20.25" customHeight="1">
      <c r="A66" s="120" t="s">
        <v>7804</v>
      </c>
      <c r="B66" s="120"/>
      <c r="C66" s="120" t="s">
        <v>7845</v>
      </c>
      <c r="D66" s="120" t="s">
        <v>7846</v>
      </c>
      <c r="E66" s="105">
        <v>44876</v>
      </c>
    </row>
    <row r="67" spans="1:5" ht="20.25" customHeight="1">
      <c r="A67" s="120" t="s">
        <v>7804</v>
      </c>
      <c r="B67" s="120"/>
      <c r="C67" s="120" t="s">
        <v>7847</v>
      </c>
      <c r="D67" s="120" t="s">
        <v>7848</v>
      </c>
      <c r="E67" s="105">
        <v>44910</v>
      </c>
    </row>
    <row r="68" spans="1:5" ht="20.25" customHeight="1">
      <c r="A68" s="120" t="s">
        <v>7804</v>
      </c>
      <c r="B68" s="120"/>
      <c r="C68" s="120" t="s">
        <v>7849</v>
      </c>
      <c r="D68" s="120" t="s">
        <v>7850</v>
      </c>
      <c r="E68" s="108">
        <v>45148</v>
      </c>
    </row>
    <row r="69" spans="1:5" ht="20.25" customHeight="1">
      <c r="A69" s="120" t="s">
        <v>7804</v>
      </c>
      <c r="B69" s="120"/>
      <c r="C69" s="120" t="s">
        <v>7851</v>
      </c>
      <c r="D69" s="120" t="s">
        <v>7852</v>
      </c>
      <c r="E69" s="108">
        <v>45065</v>
      </c>
    </row>
    <row r="70" spans="1:5" ht="20.25" customHeight="1">
      <c r="A70" s="120" t="s">
        <v>7804</v>
      </c>
      <c r="B70" s="120"/>
      <c r="C70" s="120" t="s">
        <v>7853</v>
      </c>
      <c r="D70" s="120" t="s">
        <v>7854</v>
      </c>
      <c r="E70" s="108">
        <v>45049</v>
      </c>
    </row>
    <row r="71" spans="1:5" ht="20.25" customHeight="1">
      <c r="A71" s="120" t="s">
        <v>7804</v>
      </c>
      <c r="B71" s="120"/>
      <c r="C71" s="120" t="s">
        <v>7855</v>
      </c>
      <c r="D71" s="120" t="s">
        <v>7856</v>
      </c>
      <c r="E71" s="108">
        <v>45065</v>
      </c>
    </row>
    <row r="72" spans="1:5" ht="20.25" customHeight="1">
      <c r="A72" s="120" t="s">
        <v>7804</v>
      </c>
      <c r="B72" s="120"/>
      <c r="C72" s="120" t="s">
        <v>7857</v>
      </c>
      <c r="D72" s="120" t="s">
        <v>7858</v>
      </c>
      <c r="E72" s="105">
        <v>44922</v>
      </c>
    </row>
    <row r="73" spans="1:5" ht="20.25" customHeight="1">
      <c r="A73" s="120" t="s">
        <v>7804</v>
      </c>
      <c r="B73" s="120"/>
      <c r="C73" s="120" t="s">
        <v>7859</v>
      </c>
      <c r="D73" s="120" t="s">
        <v>7860</v>
      </c>
      <c r="E73" s="105">
        <v>44961</v>
      </c>
    </row>
    <row r="74" spans="1:5" ht="20.25" customHeight="1">
      <c r="A74" s="120" t="s">
        <v>7804</v>
      </c>
      <c r="B74" s="120"/>
      <c r="C74" s="120" t="s">
        <v>7861</v>
      </c>
      <c r="D74" s="120" t="s">
        <v>7862</v>
      </c>
      <c r="E74" s="103" t="s">
        <v>4357</v>
      </c>
    </row>
    <row r="75" spans="1:5" ht="20.25" customHeight="1">
      <c r="A75" s="120" t="s">
        <v>7804</v>
      </c>
      <c r="B75" s="120"/>
      <c r="C75" s="120" t="s">
        <v>7863</v>
      </c>
      <c r="D75" s="120" t="s">
        <v>7864</v>
      </c>
      <c r="E75" s="108">
        <v>45049</v>
      </c>
    </row>
    <row r="76" spans="1:5" ht="20.25" customHeight="1">
      <c r="A76" s="120" t="s">
        <v>7804</v>
      </c>
      <c r="B76" s="120"/>
      <c r="C76" s="122" t="s">
        <v>7865</v>
      </c>
      <c r="D76" s="123" t="s">
        <v>7866</v>
      </c>
      <c r="E76" s="103" t="s">
        <v>4357</v>
      </c>
    </row>
    <row r="77" spans="1:5" ht="20.25" customHeight="1">
      <c r="A77" s="120" t="s">
        <v>7804</v>
      </c>
      <c r="B77" s="120"/>
      <c r="C77" s="122" t="s">
        <v>7867</v>
      </c>
      <c r="D77" s="124" t="s">
        <v>7868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7869</v>
      </c>
      <c r="E91" s="103" t="s">
        <v>4357</v>
      </c>
    </row>
    <row r="92" spans="3:5" ht="20.25" customHeight="1">
      <c r="C92" s="97" t="s">
        <v>7870</v>
      </c>
      <c r="E92" s="103" t="s">
        <v>4357</v>
      </c>
    </row>
    <row r="93" spans="3:5" ht="20.25" customHeight="1">
      <c r="C93" s="91" t="s">
        <v>7871</v>
      </c>
      <c r="E93" s="103" t="s">
        <v>4357</v>
      </c>
    </row>
    <row r="94" spans="3:5" ht="20.25" customHeight="1">
      <c r="C94" s="91" t="s">
        <v>7872</v>
      </c>
      <c r="E94" s="103" t="s">
        <v>4357</v>
      </c>
    </row>
    <row r="95" spans="3:5" ht="20.25" customHeight="1">
      <c r="C95" s="91" t="s">
        <v>7873</v>
      </c>
      <c r="E95" s="103" t="s">
        <v>4357</v>
      </c>
    </row>
    <row r="96" spans="3:5" ht="20.25" customHeight="1">
      <c r="C96" s="91" t="s">
        <v>7874</v>
      </c>
      <c r="E96" s="103"/>
    </row>
    <row r="97" spans="3:5" ht="20.25" customHeight="1">
      <c r="C97" s="91" t="s">
        <v>7875</v>
      </c>
      <c r="E97" s="103"/>
    </row>
    <row r="98" spans="3:5" ht="20.25" customHeight="1">
      <c r="C98" s="91" t="s">
        <v>7876</v>
      </c>
      <c r="E98" s="119">
        <v>45013</v>
      </c>
    </row>
    <row r="99" spans="3:5" ht="20.25" customHeight="1">
      <c r="C99" s="91" t="s">
        <v>7877</v>
      </c>
      <c r="E99" s="119">
        <v>45013</v>
      </c>
    </row>
    <row r="100" spans="3:5" ht="20.25" customHeight="1">
      <c r="C100" s="91" t="s">
        <v>7878</v>
      </c>
      <c r="E100" s="103" t="s">
        <v>4357</v>
      </c>
    </row>
    <row r="101" spans="3:5" ht="20.25" customHeight="1">
      <c r="C101" s="97" t="s">
        <v>7879</v>
      </c>
      <c r="E101" s="103" t="s">
        <v>4357</v>
      </c>
    </row>
    <row r="102" spans="3:5" ht="20.25" customHeight="1">
      <c r="C102" s="91" t="s">
        <v>7880</v>
      </c>
      <c r="E102" s="105">
        <v>44853</v>
      </c>
    </row>
    <row r="103" spans="3:5" ht="20.25" customHeight="1">
      <c r="C103" s="91" t="s">
        <v>7881</v>
      </c>
      <c r="E103" s="105">
        <v>44840</v>
      </c>
    </row>
    <row r="104" spans="3:5" ht="20.25" customHeight="1">
      <c r="C104" s="91" t="s">
        <v>7882</v>
      </c>
      <c r="E104" s="105">
        <v>44840</v>
      </c>
    </row>
    <row r="105" spans="3:5" ht="20.25" customHeight="1">
      <c r="C105" s="91" t="s">
        <v>7883</v>
      </c>
      <c r="E105" s="106"/>
    </row>
    <row r="106" spans="3:5" ht="20.25" customHeight="1">
      <c r="C106" s="97" t="s">
        <v>7884</v>
      </c>
      <c r="E106" s="105">
        <v>44910</v>
      </c>
    </row>
    <row r="107" spans="3:5" ht="20.25" customHeight="1">
      <c r="C107" s="91" t="s">
        <v>7885</v>
      </c>
      <c r="E107" s="105">
        <v>44961</v>
      </c>
    </row>
    <row r="108" spans="3:5" ht="20.25" customHeight="1">
      <c r="C108" s="91" t="s">
        <v>7886</v>
      </c>
      <c r="E108" s="103" t="s">
        <v>4357</v>
      </c>
    </row>
    <row r="109" spans="3:5" ht="20.25" customHeight="1">
      <c r="C109" s="91" t="s">
        <v>7887</v>
      </c>
      <c r="E109" s="103" t="s">
        <v>4357</v>
      </c>
    </row>
    <row r="110" spans="3:5" ht="20.25" customHeight="1">
      <c r="C110" s="97" t="s">
        <v>7888</v>
      </c>
      <c r="E110" s="105">
        <v>44862</v>
      </c>
    </row>
    <row r="111" spans="3:5" ht="20.25" customHeight="1">
      <c r="C111" s="91" t="s">
        <v>7889</v>
      </c>
      <c r="E111" s="105">
        <v>44877</v>
      </c>
    </row>
    <row r="112" spans="3:5" ht="20.25" customHeight="1">
      <c r="C112" s="91" t="s">
        <v>7890</v>
      </c>
      <c r="E112" s="105">
        <v>44840</v>
      </c>
    </row>
    <row r="113" spans="3:5" ht="20.25" customHeight="1">
      <c r="C113" s="97" t="s">
        <v>7891</v>
      </c>
      <c r="E113" s="103" t="s">
        <v>4357</v>
      </c>
    </row>
    <row r="114" spans="3:5" ht="20.25" customHeight="1">
      <c r="C114" s="91" t="s">
        <v>7892</v>
      </c>
      <c r="E114" s="105">
        <v>44840</v>
      </c>
    </row>
    <row r="115" spans="3:5" ht="20.25" customHeight="1">
      <c r="C115" s="91" t="s">
        <v>7893</v>
      </c>
      <c r="E115" s="103" t="s">
        <v>4357</v>
      </c>
    </row>
    <row r="116" spans="3:5" ht="20.25" customHeight="1">
      <c r="C116" s="91" t="s">
        <v>7894</v>
      </c>
      <c r="E116" s="103" t="s">
        <v>4357</v>
      </c>
    </row>
    <row r="117" spans="3:5" ht="20.25" customHeight="1">
      <c r="C117" s="91" t="s">
        <v>7895</v>
      </c>
      <c r="E117" s="105">
        <v>44840</v>
      </c>
    </row>
    <row r="118" spans="3:5" ht="20.25" customHeight="1">
      <c r="C118" s="91" t="s">
        <v>7896</v>
      </c>
      <c r="E118" s="105">
        <v>44877</v>
      </c>
    </row>
    <row r="119" spans="3:5" ht="20.25" customHeight="1">
      <c r="C119" s="91" t="s">
        <v>7897</v>
      </c>
      <c r="E119" s="105">
        <v>44890</v>
      </c>
    </row>
    <row r="120" spans="3:5" ht="20.25" customHeight="1">
      <c r="C120" s="91" t="s">
        <v>7898</v>
      </c>
      <c r="E120" s="105">
        <v>45013</v>
      </c>
    </row>
    <row r="121" spans="3:5" ht="20.25" customHeight="1">
      <c r="C121" s="91" t="s">
        <v>7899</v>
      </c>
      <c r="E121" s="105">
        <v>45013</v>
      </c>
    </row>
    <row r="122" spans="3:5" ht="20.25" customHeight="1">
      <c r="C122" s="91" t="s">
        <v>7900</v>
      </c>
      <c r="E122" s="105"/>
    </row>
    <row r="123" spans="3:5" ht="20.25" customHeight="1">
      <c r="C123" s="91" t="s">
        <v>7901</v>
      </c>
      <c r="E123" s="105"/>
    </row>
    <row r="124" spans="3:5" ht="20.25" customHeight="1">
      <c r="C124" s="91" t="s">
        <v>7902</v>
      </c>
      <c r="E124" s="112"/>
    </row>
    <row r="125" spans="3:5" ht="20.25" customHeight="1">
      <c r="C125" s="91" t="s">
        <v>7903</v>
      </c>
      <c r="E125" s="112"/>
    </row>
    <row r="126" spans="3:5" ht="20.25" customHeight="1">
      <c r="C126" s="91" t="s">
        <v>7904</v>
      </c>
      <c r="E126" s="112"/>
    </row>
    <row r="127" spans="3:5" ht="20.25" customHeight="1">
      <c r="C127" s="97" t="s">
        <v>7905</v>
      </c>
      <c r="E127" s="112"/>
    </row>
    <row r="128" spans="3:5" ht="20.25" customHeight="1">
      <c r="C128" s="91" t="s">
        <v>7906</v>
      </c>
      <c r="E128" s="112"/>
    </row>
    <row r="129" spans="3:5" ht="20.25" customHeight="1">
      <c r="C129" s="97" t="s">
        <v>7907</v>
      </c>
      <c r="E129" s="112"/>
    </row>
    <row r="130" spans="3:5" ht="20.25" customHeight="1">
      <c r="C130" s="91" t="s">
        <v>7908</v>
      </c>
      <c r="E130" s="108">
        <v>45105</v>
      </c>
    </row>
    <row r="131" spans="3:5" ht="20.25" customHeight="1">
      <c r="C131" s="91" t="s">
        <v>7909</v>
      </c>
      <c r="E131" s="109"/>
    </row>
    <row r="132" spans="3:5" ht="20.25" customHeight="1">
      <c r="C132" s="91" t="s">
        <v>7910</v>
      </c>
      <c r="E132" s="112"/>
    </row>
    <row r="133" spans="3:5" ht="20.25" customHeight="1">
      <c r="C133" s="91" t="s">
        <v>7911</v>
      </c>
      <c r="E133" s="112"/>
    </row>
    <row r="134" spans="3:5" ht="20.25" customHeight="1">
      <c r="C134" s="91" t="s">
        <v>7912</v>
      </c>
      <c r="E134" s="112"/>
    </row>
    <row r="135" spans="3:5" ht="20.25" customHeight="1">
      <c r="C135" s="91" t="s">
        <v>7913</v>
      </c>
      <c r="E135" s="108">
        <v>45105</v>
      </c>
    </row>
    <row r="136" spans="3:5" ht="20.25" customHeight="1">
      <c r="C136" s="91" t="s">
        <v>7914</v>
      </c>
      <c r="E136" s="112"/>
    </row>
    <row r="137" spans="3:5" ht="20.25" customHeight="1">
      <c r="C137" s="91" t="s">
        <v>7915</v>
      </c>
      <c r="E137" s="112"/>
    </row>
    <row r="138" spans="3:5" ht="20.25" customHeight="1">
      <c r="C138" s="91" t="s">
        <v>7916</v>
      </c>
      <c r="E138" s="108">
        <v>45049</v>
      </c>
    </row>
    <row r="139" spans="3:5" ht="20.25" customHeight="1">
      <c r="C139" s="91" t="s">
        <v>7917</v>
      </c>
      <c r="E139" s="112"/>
    </row>
    <row r="140" spans="3:5" ht="20.25" customHeight="1">
      <c r="C140" s="91" t="s">
        <v>7918</v>
      </c>
      <c r="E140" s="112"/>
    </row>
    <row r="141" spans="3:5" ht="20.25" customHeight="1">
      <c r="C141" s="91" t="s">
        <v>7919</v>
      </c>
      <c r="E141" s="112"/>
    </row>
    <row r="142" spans="3:5" ht="20.25" customHeight="1">
      <c r="C142" s="91" t="s">
        <v>7920</v>
      </c>
      <c r="E142" s="112"/>
    </row>
    <row r="143" spans="3:5" ht="20.25" customHeight="1">
      <c r="C143" s="91" t="s">
        <v>7921</v>
      </c>
      <c r="E143" s="112"/>
    </row>
    <row r="144" spans="3:5" ht="20.25" customHeight="1">
      <c r="C144" s="91" t="s">
        <v>7922</v>
      </c>
      <c r="E144" s="105">
        <v>45056</v>
      </c>
    </row>
    <row r="145" spans="3:5" ht="20.25" customHeight="1">
      <c r="C145" s="91" t="s">
        <v>7923</v>
      </c>
      <c r="E145" s="105">
        <v>45056</v>
      </c>
    </row>
    <row r="146" spans="3:5" ht="20.25" customHeight="1">
      <c r="C146" s="90" t="s">
        <v>7924</v>
      </c>
      <c r="E146" s="105">
        <v>45056</v>
      </c>
    </row>
    <row r="147" spans="3:5" ht="20.25" customHeight="1">
      <c r="C147" s="91" t="s">
        <v>7925</v>
      </c>
      <c r="E147" s="112"/>
    </row>
    <row r="148" spans="3:5" ht="20.25" customHeight="1">
      <c r="C148" s="91" t="s">
        <v>7926</v>
      </c>
      <c r="E148" s="112"/>
    </row>
    <row r="149" spans="3:5" ht="20.25" customHeight="1">
      <c r="C149" s="91" t="s">
        <v>7927</v>
      </c>
      <c r="E149" s="112"/>
    </row>
    <row r="150" spans="3:5" ht="20.25" customHeight="1">
      <c r="C150" s="91" t="s">
        <v>7928</v>
      </c>
      <c r="E150" s="112"/>
    </row>
    <row r="151" spans="3:5" ht="20.25" customHeight="1">
      <c r="C151" s="91" t="s">
        <v>7929</v>
      </c>
      <c r="E151" s="112"/>
    </row>
    <row r="152" spans="3:5" ht="20.25" customHeight="1">
      <c r="C152" s="91" t="s">
        <v>7930</v>
      </c>
      <c r="E152" s="112"/>
    </row>
    <row r="153" spans="3:5" ht="20.25" customHeight="1">
      <c r="C153" s="97" t="s">
        <v>7931</v>
      </c>
      <c r="E153" s="112"/>
    </row>
    <row r="154" spans="3:5" ht="20.25" customHeight="1">
      <c r="C154" s="91" t="s">
        <v>7932</v>
      </c>
      <c r="E154" s="112"/>
    </row>
    <row r="155" spans="3:5" ht="20.25" customHeight="1">
      <c r="C155" s="91" t="s">
        <v>7933</v>
      </c>
      <c r="E155" s="112"/>
    </row>
    <row r="156" spans="3:5" ht="20.25" customHeight="1">
      <c r="C156" s="91" t="s">
        <v>7934</v>
      </c>
      <c r="E156" s="109"/>
    </row>
    <row r="157" spans="3:5" ht="20.25" customHeight="1">
      <c r="C157" s="91" t="s">
        <v>7935</v>
      </c>
      <c r="E157" s="105">
        <v>45056</v>
      </c>
    </row>
    <row r="158" spans="3:5" ht="20.25" customHeight="1">
      <c r="C158" s="91" t="s">
        <v>7936</v>
      </c>
      <c r="E158" s="108">
        <v>45148</v>
      </c>
    </row>
    <row r="159" spans="3:5" ht="20.25" customHeight="1">
      <c r="C159" s="91" t="s">
        <v>7937</v>
      </c>
      <c r="E159" s="107"/>
    </row>
    <row r="160" spans="3:5" ht="20.25" customHeight="1">
      <c r="C160" s="91" t="s">
        <v>7938</v>
      </c>
      <c r="E160" s="107"/>
    </row>
    <row r="161" spans="3:5" ht="20.25" customHeight="1">
      <c r="C161" s="91" t="s">
        <v>7939</v>
      </c>
      <c r="E161" s="107"/>
    </row>
    <row r="162" spans="3:5" ht="20.25" customHeight="1">
      <c r="C162" s="91" t="s">
        <v>7940</v>
      </c>
      <c r="E162" s="107"/>
    </row>
    <row r="163" spans="3:5" ht="20.25" customHeight="1">
      <c r="C163" s="91" t="s">
        <v>7941</v>
      </c>
      <c r="E163" s="107"/>
    </row>
    <row r="164" spans="3:5" ht="20.25" customHeight="1">
      <c r="C164" s="91" t="s">
        <v>7942</v>
      </c>
      <c r="E164" s="107"/>
    </row>
    <row r="165" spans="3:5" ht="20.25" customHeight="1">
      <c r="C165" s="91" t="s">
        <v>7943</v>
      </c>
      <c r="E165" s="107"/>
    </row>
    <row r="166" spans="3:5" ht="20.25" customHeight="1">
      <c r="C166" s="91" t="s">
        <v>7944</v>
      </c>
      <c r="E166" s="107"/>
    </row>
    <row r="167" spans="3:5" ht="20.25" customHeight="1">
      <c r="C167" s="91" t="s">
        <v>7945</v>
      </c>
      <c r="E167" s="107"/>
    </row>
    <row r="168" spans="3:5" ht="20.25" customHeight="1">
      <c r="C168" s="91" t="s">
        <v>7946</v>
      </c>
      <c r="E168" s="107"/>
    </row>
    <row r="169" spans="3:5" ht="20.25" customHeight="1">
      <c r="C169" s="91" t="s">
        <v>7947</v>
      </c>
      <c r="E169" s="107"/>
    </row>
    <row r="170" spans="3:5" ht="20.25" customHeight="1">
      <c r="C170" s="91" t="s">
        <v>7948</v>
      </c>
      <c r="E170" s="107"/>
    </row>
    <row r="171" spans="3:5" ht="20.25" customHeight="1">
      <c r="C171" s="91" t="s">
        <v>7949</v>
      </c>
      <c r="E171" s="107"/>
    </row>
    <row r="172" spans="3:5" ht="20.25" customHeight="1">
      <c r="C172" s="97" t="s">
        <v>7950</v>
      </c>
      <c r="E172" s="107"/>
    </row>
    <row r="173" spans="3:5" ht="20.25" customHeight="1">
      <c r="C173" s="91" t="s">
        <v>7951</v>
      </c>
      <c r="E173" s="107"/>
    </row>
    <row r="174" spans="3:5" ht="20.25" customHeight="1">
      <c r="C174" s="91" t="s">
        <v>7952</v>
      </c>
      <c r="E174" s="107"/>
    </row>
    <row r="175" spans="3:5" ht="20.25" customHeight="1">
      <c r="C175" s="91" t="s">
        <v>7953</v>
      </c>
      <c r="E175" s="107"/>
    </row>
    <row r="176" spans="3:5" ht="20.25" customHeight="1">
      <c r="C176" s="91" t="s">
        <v>7954</v>
      </c>
      <c r="E176" s="107"/>
    </row>
    <row r="177" spans="3:5" ht="20.25" customHeight="1">
      <c r="C177" s="91" t="s">
        <v>7955</v>
      </c>
      <c r="E177" s="107"/>
    </row>
    <row r="178" spans="3:5" ht="20.25" customHeight="1">
      <c r="C178" s="91" t="s">
        <v>7956</v>
      </c>
      <c r="E178" s="108">
        <v>45105</v>
      </c>
    </row>
    <row r="179" spans="3:5" ht="20.25" customHeight="1">
      <c r="C179" s="91" t="s">
        <v>7957</v>
      </c>
      <c r="E179" s="105">
        <v>44992</v>
      </c>
    </row>
    <row r="180" spans="3:5" ht="20.25" customHeight="1">
      <c r="C180" s="97" t="s">
        <v>7958</v>
      </c>
      <c r="E180" s="105">
        <v>45056</v>
      </c>
    </row>
    <row r="181" spans="3:5" ht="20.25" customHeight="1">
      <c r="C181" s="91" t="s">
        <v>7959</v>
      </c>
      <c r="E181" s="105">
        <v>44992</v>
      </c>
    </row>
    <row r="182" spans="3:5" ht="20.25" customHeight="1">
      <c r="C182" s="91" t="s">
        <v>7960</v>
      </c>
      <c r="E182" s="105">
        <v>45056</v>
      </c>
    </row>
    <row r="183" spans="3:5" ht="20.25" customHeight="1">
      <c r="C183" s="91" t="s">
        <v>7961</v>
      </c>
      <c r="E183" s="111">
        <v>45111</v>
      </c>
    </row>
    <row r="184" spans="3:5" ht="20.25" customHeight="1">
      <c r="C184" s="91" t="s">
        <v>7962</v>
      </c>
      <c r="E184" s="105">
        <v>45056</v>
      </c>
    </row>
    <row r="185" spans="3:5" ht="20.25" customHeight="1">
      <c r="C185" s="97" t="s">
        <v>7963</v>
      </c>
      <c r="E185" s="107"/>
    </row>
    <row r="186" spans="3:5" ht="20.25" customHeight="1">
      <c r="C186" s="91" t="s">
        <v>7964</v>
      </c>
      <c r="E186" s="107"/>
    </row>
    <row r="187" spans="3:5" ht="20.25" customHeight="1">
      <c r="C187" s="91" t="s">
        <v>7965</v>
      </c>
      <c r="E187" s="105">
        <v>45056</v>
      </c>
    </row>
    <row r="188" spans="3:5" ht="20.25" customHeight="1">
      <c r="C188" s="91" t="s">
        <v>7966</v>
      </c>
      <c r="E188" s="105">
        <v>45056</v>
      </c>
    </row>
    <row r="189" spans="3:5" ht="20.25" customHeight="1">
      <c r="C189" s="91" t="s">
        <v>7967</v>
      </c>
      <c r="E189" s="105">
        <v>45056</v>
      </c>
    </row>
    <row r="190" spans="3:5" ht="20.25" customHeight="1">
      <c r="C190" s="91" t="s">
        <v>7968</v>
      </c>
      <c r="E190" s="105">
        <v>45097</v>
      </c>
    </row>
    <row r="191" spans="3:5" ht="20.25" customHeight="1">
      <c r="C191" s="91" t="s">
        <v>7969</v>
      </c>
      <c r="E191" s="111">
        <v>45111</v>
      </c>
    </row>
    <row r="192" spans="3:5" ht="20.25" customHeight="1">
      <c r="C192" s="91" t="s">
        <v>7970</v>
      </c>
      <c r="E192" s="111">
        <v>45111</v>
      </c>
    </row>
    <row r="193" spans="3:5" ht="20.25" customHeight="1">
      <c r="C193" s="91" t="s">
        <v>7971</v>
      </c>
      <c r="E193" s="111">
        <v>45111</v>
      </c>
    </row>
    <row r="194" spans="3:5" ht="20.25" customHeight="1">
      <c r="C194" s="91" t="s">
        <v>7972</v>
      </c>
      <c r="E194" s="105">
        <v>45097</v>
      </c>
    </row>
    <row r="195" spans="3:5" ht="20.25" customHeight="1">
      <c r="C195" s="91" t="s">
        <v>7973</v>
      </c>
      <c r="E195" s="111">
        <v>45111</v>
      </c>
    </row>
    <row r="196" spans="3:5" ht="20.25" customHeight="1">
      <c r="C196" s="91" t="s">
        <v>7974</v>
      </c>
      <c r="E196" s="111">
        <v>45111</v>
      </c>
    </row>
    <row r="197" spans="3:5" ht="20.25" customHeight="1">
      <c r="C197" s="91" t="s">
        <v>7975</v>
      </c>
      <c r="E197" s="105">
        <v>45097</v>
      </c>
    </row>
    <row r="198" spans="3:5" ht="20.25" customHeight="1">
      <c r="C198" s="91" t="s">
        <v>7976</v>
      </c>
      <c r="E198" s="105">
        <v>45097</v>
      </c>
    </row>
    <row r="199" spans="3:5" ht="20.25" customHeight="1">
      <c r="C199" s="91" t="s">
        <v>7977</v>
      </c>
      <c r="E199" s="105">
        <v>45097</v>
      </c>
    </row>
    <row r="200" spans="3:5" ht="20.25" customHeight="1">
      <c r="C200" s="91" t="s">
        <v>7978</v>
      </c>
      <c r="E200" s="109"/>
    </row>
    <row r="201" spans="3:5" ht="20.25" customHeight="1">
      <c r="C201" s="91" t="s">
        <v>7979</v>
      </c>
      <c r="E201" s="111">
        <v>45111</v>
      </c>
    </row>
    <row r="202" spans="3:5" ht="20.25" customHeight="1">
      <c r="C202" s="91" t="s">
        <v>7980</v>
      </c>
      <c r="E202" s="105">
        <v>45097</v>
      </c>
    </row>
    <row r="203" spans="3:5" ht="20.25" customHeight="1">
      <c r="C203" s="91" t="s">
        <v>7981</v>
      </c>
      <c r="E203" s="108">
        <v>45148</v>
      </c>
    </row>
    <row r="204" spans="3:5" ht="20.25" customHeight="1">
      <c r="C204" s="91" t="s">
        <v>7982</v>
      </c>
      <c r="E204" s="111">
        <v>45111</v>
      </c>
    </row>
    <row r="205" spans="3:5" ht="20.25" customHeight="1">
      <c r="C205" s="91" t="s">
        <v>7983</v>
      </c>
      <c r="E205" s="112"/>
    </row>
    <row r="206" spans="3:5" ht="20.25" customHeight="1">
      <c r="C206" s="91" t="s">
        <v>7984</v>
      </c>
      <c r="E206" s="105">
        <v>44992</v>
      </c>
    </row>
    <row r="207" spans="3:5" ht="20.25" customHeight="1">
      <c r="C207" s="91" t="s">
        <v>7985</v>
      </c>
      <c r="E207" s="105">
        <v>45097</v>
      </c>
    </row>
    <row r="208" spans="3:5" ht="20.25" customHeight="1">
      <c r="C208" s="91" t="s">
        <v>7986</v>
      </c>
      <c r="E208" s="105">
        <v>45097</v>
      </c>
    </row>
    <row r="209" spans="3:5" ht="20.25" customHeight="1">
      <c r="C209" s="91" t="s">
        <v>7987</v>
      </c>
      <c r="E209" s="105">
        <v>45097</v>
      </c>
    </row>
    <row r="210" spans="3:5" ht="20.25" customHeight="1">
      <c r="C210" s="91" t="s">
        <v>7988</v>
      </c>
      <c r="E210" s="112"/>
    </row>
    <row r="211" spans="3:5" ht="20.25" customHeight="1">
      <c r="C211" s="91" t="s">
        <v>7989</v>
      </c>
      <c r="E211" s="112"/>
    </row>
    <row r="212" spans="3:5" ht="20.25" customHeight="1">
      <c r="C212" s="91" t="s">
        <v>7990</v>
      </c>
      <c r="E212" s="105">
        <v>45097</v>
      </c>
    </row>
    <row r="213" spans="3:5" ht="20.25" customHeight="1">
      <c r="C213" s="91" t="s">
        <v>7991</v>
      </c>
      <c r="E213" s="105">
        <v>45097</v>
      </c>
    </row>
    <row r="214" spans="3:5" ht="20.25" customHeight="1">
      <c r="C214" s="91" t="s">
        <v>7992</v>
      </c>
      <c r="E214" s="111">
        <v>45111</v>
      </c>
    </row>
    <row r="215" spans="3:5" ht="20.25" customHeight="1">
      <c r="C215" s="91" t="s">
        <v>7993</v>
      </c>
      <c r="E215" s="105">
        <v>44961</v>
      </c>
    </row>
    <row r="216" spans="3:5" ht="20.25" customHeight="1">
      <c r="C216" s="91" t="s">
        <v>7994</v>
      </c>
      <c r="E216" s="105">
        <v>45097</v>
      </c>
    </row>
    <row r="217" spans="3:5" ht="20.25" customHeight="1">
      <c r="C217" s="91" t="s">
        <v>7995</v>
      </c>
      <c r="E217" s="108">
        <v>45148</v>
      </c>
    </row>
    <row r="218" spans="3:5" ht="20.25" customHeight="1">
      <c r="C218" s="91" t="s">
        <v>7996</v>
      </c>
      <c r="E218" s="111">
        <v>45111</v>
      </c>
    </row>
    <row r="219" spans="3:5" ht="20.25" customHeight="1">
      <c r="C219" s="91" t="s">
        <v>7997</v>
      </c>
      <c r="E219" s="112"/>
    </row>
    <row r="220" spans="3:5" ht="20.25" customHeight="1">
      <c r="C220" s="91" t="s">
        <v>7998</v>
      </c>
      <c r="E220" s="112"/>
    </row>
    <row r="221" spans="3:5" ht="20.25" customHeight="1">
      <c r="C221" s="91" t="s">
        <v>7999</v>
      </c>
      <c r="E221" s="112"/>
    </row>
    <row r="222" spans="3:5" ht="20.25" customHeight="1">
      <c r="C222" s="91" t="s">
        <v>8000</v>
      </c>
      <c r="E222" s="105">
        <v>45097</v>
      </c>
    </row>
    <row r="223" spans="3:5" ht="20.25" customHeight="1">
      <c r="C223" s="91" t="s">
        <v>8001</v>
      </c>
      <c r="E223" s="108">
        <v>45148</v>
      </c>
    </row>
    <row r="224" spans="3:5" ht="20.25" customHeight="1">
      <c r="C224" s="91" t="s">
        <v>8002</v>
      </c>
      <c r="E224" s="111">
        <v>45111</v>
      </c>
    </row>
    <row r="225" spans="3:5" ht="20.25" customHeight="1">
      <c r="C225" s="91" t="s">
        <v>8003</v>
      </c>
      <c r="E225" s="108">
        <v>45148</v>
      </c>
    </row>
    <row r="226" spans="3:5" ht="20.25" customHeight="1">
      <c r="C226" s="91" t="s">
        <v>8004</v>
      </c>
      <c r="E226" s="108">
        <v>45148</v>
      </c>
    </row>
    <row r="227" spans="3:5" ht="20.25" customHeight="1">
      <c r="C227" s="91" t="s">
        <v>8005</v>
      </c>
      <c r="E227" s="105">
        <v>45097</v>
      </c>
    </row>
    <row r="228" spans="3:5" ht="20.25" customHeight="1">
      <c r="C228" s="91" t="s">
        <v>8006</v>
      </c>
      <c r="E228" s="112"/>
    </row>
    <row r="229" spans="3:5" ht="20.25" customHeight="1">
      <c r="C229" s="91" t="s">
        <v>8007</v>
      </c>
      <c r="E229" s="111">
        <v>45111</v>
      </c>
    </row>
    <row r="230" spans="3:5" ht="20.25" customHeight="1">
      <c r="C230" s="91" t="s">
        <v>8008</v>
      </c>
      <c r="E230" s="111">
        <v>45111</v>
      </c>
    </row>
    <row r="231" spans="3:5" ht="20.25" customHeight="1">
      <c r="C231" s="91" t="s">
        <v>8009</v>
      </c>
      <c r="E231" s="105">
        <v>45097</v>
      </c>
    </row>
    <row r="232" spans="3:5" ht="20.25" customHeight="1">
      <c r="C232" s="91" t="s">
        <v>8010</v>
      </c>
      <c r="E232" s="111">
        <v>45111</v>
      </c>
    </row>
    <row r="233" spans="3:5" ht="20.25" customHeight="1">
      <c r="C233" s="91" t="s">
        <v>8011</v>
      </c>
      <c r="E233" s="111">
        <v>45111</v>
      </c>
    </row>
    <row r="234" spans="3:5" ht="20.25" customHeight="1">
      <c r="C234" s="91" t="s">
        <v>8012</v>
      </c>
      <c r="E234" s="105">
        <v>45097</v>
      </c>
    </row>
    <row r="235" spans="3:5" ht="20.25" customHeight="1">
      <c r="C235" s="91" t="s">
        <v>8013</v>
      </c>
      <c r="E235" s="105">
        <v>44992</v>
      </c>
    </row>
    <row r="236" spans="3:5" ht="20.25" customHeight="1">
      <c r="C236" s="91" t="s">
        <v>8014</v>
      </c>
      <c r="E236" s="129"/>
    </row>
    <row r="237" spans="3:5" ht="20.25" customHeight="1">
      <c r="C237" s="91" t="s">
        <v>8015</v>
      </c>
      <c r="E237" s="112"/>
    </row>
    <row r="238" spans="3:5" ht="20.25" customHeight="1">
      <c r="C238" s="91" t="s">
        <v>8016</v>
      </c>
      <c r="E238" s="111">
        <v>45111</v>
      </c>
    </row>
    <row r="239" spans="3:5" ht="20.25" customHeight="1">
      <c r="C239" s="91" t="s">
        <v>8017</v>
      </c>
      <c r="E239" s="112"/>
    </row>
    <row r="240" spans="3:5" ht="20.25" customHeight="1">
      <c r="C240" s="91" t="s">
        <v>8018</v>
      </c>
      <c r="E240" s="109"/>
    </row>
    <row r="241" spans="3:5" ht="20.25" customHeight="1">
      <c r="C241" s="91" t="s">
        <v>8019</v>
      </c>
      <c r="E241" s="112"/>
    </row>
    <row r="242" spans="3:5" ht="20.25" customHeight="1">
      <c r="C242" s="91" t="s">
        <v>8020</v>
      </c>
      <c r="E242" s="112"/>
    </row>
    <row r="243" spans="3:5" ht="20.25" customHeight="1">
      <c r="C243" s="91" t="s">
        <v>8021</v>
      </c>
      <c r="E243" s="108">
        <v>45105</v>
      </c>
    </row>
    <row r="244" spans="3:5" ht="20.25" customHeight="1">
      <c r="C244" s="91" t="s">
        <v>8022</v>
      </c>
      <c r="E244" s="105">
        <v>44992</v>
      </c>
    </row>
    <row r="245" spans="3:5" ht="20.25" customHeight="1">
      <c r="C245" s="91" t="s">
        <v>8023</v>
      </c>
      <c r="E245" s="108">
        <v>45148</v>
      </c>
    </row>
    <row r="246" spans="3:5" ht="20.25" customHeight="1">
      <c r="C246" s="91" t="s">
        <v>8024</v>
      </c>
      <c r="E246" s="103"/>
    </row>
    <row r="247" spans="3:5" ht="20.25" customHeight="1">
      <c r="C247" s="91" t="s">
        <v>8025</v>
      </c>
      <c r="E247" s="129"/>
    </row>
    <row r="248" spans="3:5" ht="20.25" customHeight="1">
      <c r="C248" s="91" t="s">
        <v>8026</v>
      </c>
      <c r="E248" s="129"/>
    </row>
    <row r="249" spans="3:5" ht="20.25" customHeight="1">
      <c r="C249" s="91" t="s">
        <v>8027</v>
      </c>
      <c r="E249" s="105">
        <v>45097</v>
      </c>
    </row>
    <row r="250" spans="3:5" ht="20.25" customHeight="1">
      <c r="C250" s="91" t="s">
        <v>8028</v>
      </c>
      <c r="E250" s="108">
        <v>45105</v>
      </c>
    </row>
    <row r="251" spans="3:5" ht="20.25" customHeight="1">
      <c r="C251" s="91" t="s">
        <v>8029</v>
      </c>
      <c r="E251" s="105">
        <v>45097</v>
      </c>
    </row>
    <row r="252" spans="3:5" ht="20.25" customHeight="1">
      <c r="C252" s="91" t="s">
        <v>8030</v>
      </c>
      <c r="E252" s="105">
        <v>44992</v>
      </c>
    </row>
    <row r="253" spans="3:5" ht="20.25" customHeight="1">
      <c r="C253" s="91" t="s">
        <v>8031</v>
      </c>
      <c r="E253" s="112"/>
    </row>
    <row r="254" spans="3:5" ht="20.25" customHeight="1">
      <c r="C254" s="91" t="s">
        <v>8032</v>
      </c>
      <c r="E254" s="112"/>
    </row>
    <row r="255" spans="3:5" ht="20.25" customHeight="1">
      <c r="C255" s="91" t="s">
        <v>8033</v>
      </c>
      <c r="E255" s="112"/>
    </row>
    <row r="256" spans="3:5" ht="20.25" customHeight="1">
      <c r="C256" s="91" t="s">
        <v>8034</v>
      </c>
      <c r="E256" s="108">
        <v>45105</v>
      </c>
    </row>
    <row r="257" spans="3:5" ht="20.25" customHeight="1">
      <c r="C257" s="91" t="s">
        <v>8035</v>
      </c>
      <c r="E257" s="108">
        <v>45105</v>
      </c>
    </row>
    <row r="258" spans="3:5" ht="20.25" customHeight="1">
      <c r="C258" s="91" t="s">
        <v>8036</v>
      </c>
      <c r="E258" s="108">
        <v>45148</v>
      </c>
    </row>
    <row r="259" spans="3:5" ht="20.25" customHeight="1">
      <c r="C259" s="91" t="s">
        <v>8037</v>
      </c>
      <c r="E259" s="108">
        <v>45148</v>
      </c>
    </row>
    <row r="260" spans="3:5" ht="20.25" customHeight="1">
      <c r="C260" s="91" t="s">
        <v>8038</v>
      </c>
      <c r="E260" s="108">
        <v>45148</v>
      </c>
    </row>
    <row r="261" spans="3:5" ht="20.25" customHeight="1">
      <c r="C261" s="91" t="s">
        <v>8039</v>
      </c>
      <c r="E261" s="129"/>
    </row>
    <row r="262" spans="3:5" ht="20.25" customHeight="1">
      <c r="C262" s="91" t="s">
        <v>8040</v>
      </c>
      <c r="E262" s="112"/>
    </row>
    <row r="263" spans="3:5" ht="20.25" customHeight="1">
      <c r="C263" s="91" t="s">
        <v>8041</v>
      </c>
      <c r="E263" s="112"/>
    </row>
    <row r="264" spans="3:5" ht="20.25" customHeight="1">
      <c r="C264" s="91" t="s">
        <v>8042</v>
      </c>
      <c r="E264" s="112"/>
    </row>
    <row r="265" spans="3:5" ht="20.25" customHeight="1">
      <c r="C265" s="91" t="s">
        <v>8043</v>
      </c>
      <c r="E265" s="112"/>
    </row>
    <row r="266" spans="3:5" ht="20.25" customHeight="1">
      <c r="C266" s="91" t="s">
        <v>8044</v>
      </c>
      <c r="E266" s="112"/>
    </row>
    <row r="267" spans="3:5" ht="20.25" customHeight="1">
      <c r="C267" s="91" t="s">
        <v>8045</v>
      </c>
      <c r="E267" s="112"/>
    </row>
    <row r="268" spans="3:5" ht="20.25" customHeight="1">
      <c r="C268" s="91" t="s">
        <v>8046</v>
      </c>
      <c r="E268" s="112"/>
    </row>
    <row r="269" spans="3:5" ht="20.25" customHeight="1">
      <c r="C269" s="91" t="s">
        <v>8047</v>
      </c>
      <c r="E269" s="103" t="s">
        <v>4357</v>
      </c>
    </row>
    <row r="270" spans="3:5" ht="20.25" customHeight="1">
      <c r="C270" s="91" t="s">
        <v>8048</v>
      </c>
      <c r="E270" s="112"/>
    </row>
    <row r="271" spans="3:5" ht="20.25" customHeight="1">
      <c r="C271" s="90" t="s">
        <v>8049</v>
      </c>
      <c r="E271" s="111">
        <v>45111</v>
      </c>
    </row>
    <row r="272" spans="3:5" ht="20.25" customHeight="1">
      <c r="C272" s="91" t="s">
        <v>8050</v>
      </c>
      <c r="E272" s="111">
        <v>45111</v>
      </c>
    </row>
    <row r="273" spans="3:5" ht="20.25" customHeight="1">
      <c r="C273" s="91" t="s">
        <v>8051</v>
      </c>
      <c r="E273" s="111">
        <v>45111</v>
      </c>
    </row>
    <row r="274" spans="3:5" ht="20.25" customHeight="1">
      <c r="C274" s="91" t="s">
        <v>8052</v>
      </c>
      <c r="E274" s="112"/>
    </row>
    <row r="275" spans="3:5" ht="20.25" customHeight="1">
      <c r="C275" s="91" t="s">
        <v>8053</v>
      </c>
      <c r="E275" s="105">
        <v>45097</v>
      </c>
    </row>
    <row r="276" spans="3:5" ht="20.25" customHeight="1">
      <c r="C276" s="91" t="s">
        <v>8054</v>
      </c>
      <c r="E276" s="112"/>
    </row>
    <row r="277" spans="3:5" ht="20.25" customHeight="1">
      <c r="C277" s="91" t="s">
        <v>8055</v>
      </c>
      <c r="E277" s="112"/>
    </row>
    <row r="278" spans="3:5" ht="20.25" customHeight="1">
      <c r="C278" s="91" t="s">
        <v>8056</v>
      </c>
      <c r="E278" s="112"/>
    </row>
    <row r="279" spans="3:5" ht="20.25" customHeight="1">
      <c r="C279" s="91" t="s">
        <v>8057</v>
      </c>
      <c r="E279" s="111">
        <v>45111</v>
      </c>
    </row>
    <row r="280" spans="3:5" ht="20.25" customHeight="1">
      <c r="C280" s="91" t="s">
        <v>8058</v>
      </c>
      <c r="E280" s="111">
        <v>45111</v>
      </c>
    </row>
    <row r="281" spans="3:5" ht="20.25" customHeight="1">
      <c r="C281" s="91" t="s">
        <v>8059</v>
      </c>
      <c r="E281" s="109"/>
    </row>
    <row r="282" spans="3:5" ht="20.25" customHeight="1">
      <c r="C282" s="91" t="s">
        <v>8060</v>
      </c>
      <c r="E282" s="108" t="s">
        <v>4357</v>
      </c>
    </row>
    <row r="283" spans="3:5" ht="20.25" customHeight="1">
      <c r="C283" s="91" t="s">
        <v>8061</v>
      </c>
      <c r="E283" s="112"/>
    </row>
    <row r="284" spans="3:5" ht="20.25" customHeight="1">
      <c r="C284" s="91" t="s">
        <v>8062</v>
      </c>
      <c r="E284" s="111">
        <v>45111</v>
      </c>
    </row>
    <row r="285" spans="3:5" ht="20.25" customHeight="1">
      <c r="C285" s="91" t="s">
        <v>8063</v>
      </c>
      <c r="E285" s="112"/>
    </row>
    <row r="286" spans="3:5" ht="20.25" customHeight="1">
      <c r="C286" s="91" t="s">
        <v>8064</v>
      </c>
      <c r="E286" s="111">
        <v>45111</v>
      </c>
    </row>
    <row r="287" spans="3:5" ht="20.25" customHeight="1">
      <c r="C287" s="91" t="s">
        <v>8065</v>
      </c>
      <c r="E287" s="112"/>
    </row>
    <row r="288" spans="3:5" ht="20.25" customHeight="1">
      <c r="C288" s="91" t="s">
        <v>8066</v>
      </c>
      <c r="E288" s="112"/>
    </row>
    <row r="289" spans="3:5" ht="20.25" customHeight="1">
      <c r="C289" s="91" t="s">
        <v>8067</v>
      </c>
      <c r="E289" s="108" t="s">
        <v>4357</v>
      </c>
    </row>
    <row r="290" spans="3:5" ht="20.25" customHeight="1">
      <c r="C290" s="91" t="s">
        <v>8068</v>
      </c>
      <c r="E290" s="108" t="s">
        <v>4357</v>
      </c>
    </row>
    <row r="291" spans="3:5" ht="20.25" customHeight="1">
      <c r="C291" s="91" t="s">
        <v>8069</v>
      </c>
      <c r="E291" s="108">
        <v>45105</v>
      </c>
    </row>
    <row r="292" spans="3:5" ht="20.25" customHeight="1">
      <c r="C292" s="91" t="s">
        <v>8070</v>
      </c>
      <c r="E292" s="112"/>
    </row>
    <row r="293" spans="3:5" ht="20.25" customHeight="1">
      <c r="C293" s="91" t="s">
        <v>8071</v>
      </c>
      <c r="E293" s="112"/>
    </row>
    <row r="294" spans="3:5" ht="20.25" customHeight="1">
      <c r="C294" s="91" t="s">
        <v>8072</v>
      </c>
      <c r="E294" s="109"/>
    </row>
    <row r="295" spans="3:5" ht="20.25" customHeight="1">
      <c r="C295" s="91" t="s">
        <v>8073</v>
      </c>
      <c r="E295" s="112"/>
    </row>
    <row r="296" spans="3:5" ht="20.25" customHeight="1">
      <c r="C296" s="91" t="s">
        <v>8074</v>
      </c>
      <c r="E296" s="105">
        <v>44961</v>
      </c>
    </row>
    <row r="297" spans="3:5" ht="20.25" customHeight="1">
      <c r="C297" s="91" t="s">
        <v>8075</v>
      </c>
      <c r="E297" s="112"/>
    </row>
    <row r="298" spans="3:5" ht="20.25" customHeight="1">
      <c r="C298" s="91" t="s">
        <v>8076</v>
      </c>
      <c r="E298" s="112"/>
    </row>
    <row r="299" spans="3:5" ht="20.25" customHeight="1">
      <c r="C299" s="91" t="s">
        <v>8077</v>
      </c>
      <c r="E299" s="112"/>
    </row>
    <row r="300" spans="3:5" ht="20.25" customHeight="1">
      <c r="C300" s="91" t="s">
        <v>8078</v>
      </c>
      <c r="E300" s="108">
        <v>45148</v>
      </c>
    </row>
    <row r="301" spans="3:5" ht="20.25" customHeight="1">
      <c r="C301" s="97" t="s">
        <v>8079</v>
      </c>
      <c r="E301" s="112"/>
    </row>
    <row r="302" spans="3:5" ht="20.25" customHeight="1">
      <c r="C302" s="97" t="s">
        <v>8080</v>
      </c>
      <c r="E302" s="105">
        <v>45097</v>
      </c>
    </row>
    <row r="303" spans="3:5" ht="20.25" customHeight="1">
      <c r="C303" s="91" t="s">
        <v>8081</v>
      </c>
      <c r="E303" s="108">
        <v>45105</v>
      </c>
    </row>
    <row r="304" spans="3:5" ht="20.25" customHeight="1">
      <c r="C304" s="91" t="s">
        <v>8082</v>
      </c>
      <c r="E304" s="112"/>
    </row>
    <row r="305" spans="3:5" ht="20.25" customHeight="1">
      <c r="C305" s="91" t="s">
        <v>8083</v>
      </c>
      <c r="E305" s="112"/>
    </row>
    <row r="306" spans="3:5" ht="20.25" customHeight="1">
      <c r="C306" s="91" t="s">
        <v>8084</v>
      </c>
      <c r="E306" s="112"/>
    </row>
    <row r="307" spans="3:5" ht="20.25" customHeight="1">
      <c r="C307" s="91" t="s">
        <v>8085</v>
      </c>
      <c r="E307" s="105">
        <v>45097</v>
      </c>
    </row>
    <row r="308" spans="3:5" ht="20.25" customHeight="1">
      <c r="C308" s="91" t="s">
        <v>8086</v>
      </c>
      <c r="E308" s="112"/>
    </row>
    <row r="309" spans="3:5" ht="20.25" customHeight="1">
      <c r="C309" s="91" t="s">
        <v>8087</v>
      </c>
      <c r="E309" s="112"/>
    </row>
    <row r="310" spans="3:5" ht="20.25" customHeight="1">
      <c r="C310" s="91" t="s">
        <v>8088</v>
      </c>
      <c r="E310" s="112"/>
    </row>
    <row r="311" spans="3:5" ht="20.25" customHeight="1">
      <c r="C311" s="91" t="s">
        <v>8089</v>
      </c>
      <c r="E311" s="112"/>
    </row>
    <row r="312" spans="3:5" ht="20.25" customHeight="1">
      <c r="C312" s="97" t="s">
        <v>8090</v>
      </c>
      <c r="E312" s="112"/>
    </row>
    <row r="313" spans="3:5" ht="20.25" customHeight="1">
      <c r="C313" s="91" t="s">
        <v>8091</v>
      </c>
      <c r="E313" s="112"/>
    </row>
    <row r="314" spans="3:5" ht="20.25" customHeight="1">
      <c r="C314" s="91" t="s">
        <v>8092</v>
      </c>
      <c r="E314" s="112"/>
    </row>
    <row r="315" spans="3:5" ht="20.25" customHeight="1">
      <c r="C315" s="97" t="s">
        <v>8093</v>
      </c>
      <c r="E315" s="112"/>
    </row>
    <row r="316" spans="3:5" ht="20.25" customHeight="1">
      <c r="C316" s="91" t="s">
        <v>8094</v>
      </c>
      <c r="E316" s="112"/>
    </row>
    <row r="317" spans="3:5" ht="20.25" customHeight="1">
      <c r="C317" s="91" t="s">
        <v>8095</v>
      </c>
      <c r="E317" s="112"/>
    </row>
    <row r="318" spans="3:5" ht="20.25" customHeight="1">
      <c r="C318" s="91" t="s">
        <v>8096</v>
      </c>
      <c r="E318" s="111">
        <v>45111</v>
      </c>
    </row>
    <row r="319" spans="3:5" ht="20.25" customHeight="1">
      <c r="C319" s="91" t="s">
        <v>8097</v>
      </c>
      <c r="E319" s="112"/>
    </row>
    <row r="320" spans="3:5" ht="20.25" customHeight="1">
      <c r="C320" s="91" t="s">
        <v>8098</v>
      </c>
      <c r="E320" s="103" t="s">
        <v>4357</v>
      </c>
    </row>
    <row r="321" spans="3:5" ht="20.25" customHeight="1">
      <c r="C321" s="91" t="s">
        <v>8099</v>
      </c>
      <c r="E321" s="112"/>
    </row>
    <row r="322" spans="3:5" ht="20.25" customHeight="1">
      <c r="C322" s="91" t="s">
        <v>8100</v>
      </c>
      <c r="E322" s="112"/>
    </row>
    <row r="323" spans="3:5" ht="20.25" customHeight="1">
      <c r="C323" s="91" t="s">
        <v>8101</v>
      </c>
      <c r="E323" s="112"/>
    </row>
    <row r="324" spans="3:5" ht="20.25" customHeight="1">
      <c r="C324" s="91" t="s">
        <v>8102</v>
      </c>
      <c r="E324" s="112"/>
    </row>
    <row r="325" spans="3:5" ht="20.25" customHeight="1">
      <c r="C325" s="91" t="s">
        <v>8103</v>
      </c>
      <c r="E325" s="112"/>
    </row>
    <row r="326" spans="3:5" ht="20.25" customHeight="1">
      <c r="C326" s="91" t="s">
        <v>8104</v>
      </c>
      <c r="E326" s="112"/>
    </row>
    <row r="327" spans="3:5" ht="20.25" customHeight="1">
      <c r="C327" s="91" t="s">
        <v>8105</v>
      </c>
      <c r="E327" s="112"/>
    </row>
    <row r="328" spans="3:5" ht="20.25" customHeight="1">
      <c r="C328" s="97" t="s">
        <v>8106</v>
      </c>
      <c r="E328" s="112"/>
    </row>
    <row r="329" spans="3:5" ht="20.25" customHeight="1">
      <c r="C329" s="91" t="s">
        <v>8107</v>
      </c>
      <c r="E329" s="112"/>
    </row>
    <row r="330" spans="3:5" ht="20.25" customHeight="1">
      <c r="C330" s="91" t="s">
        <v>8108</v>
      </c>
      <c r="E330" s="112"/>
    </row>
    <row r="331" spans="3:5" ht="20.25" customHeight="1">
      <c r="C331" s="91" t="s">
        <v>8109</v>
      </c>
      <c r="E331" s="112"/>
    </row>
    <row r="332" spans="3:5" ht="20.25" customHeight="1">
      <c r="C332" s="91" t="s">
        <v>8110</v>
      </c>
      <c r="E332" s="112"/>
    </row>
    <row r="333" spans="3:5" ht="20.25" customHeight="1">
      <c r="C333" s="91" t="s">
        <v>8111</v>
      </c>
      <c r="E333" s="112"/>
    </row>
    <row r="334" spans="3:5" ht="20.25" customHeight="1">
      <c r="C334" s="91" t="s">
        <v>8112</v>
      </c>
      <c r="E334" s="112"/>
    </row>
    <row r="335" spans="3:5" ht="20.25" customHeight="1">
      <c r="C335" s="97" t="s">
        <v>8113</v>
      </c>
      <c r="E335" s="112"/>
    </row>
    <row r="336" spans="3:5" ht="20.25" customHeight="1">
      <c r="C336" s="97" t="s">
        <v>8114</v>
      </c>
      <c r="E336" s="112"/>
    </row>
    <row r="337" spans="3:5" ht="20.25" customHeight="1">
      <c r="C337" s="91" t="s">
        <v>8115</v>
      </c>
      <c r="E337" s="112"/>
    </row>
    <row r="338" spans="3:5" ht="20.25" customHeight="1">
      <c r="C338" s="91" t="s">
        <v>8116</v>
      </c>
      <c r="E338" s="112"/>
    </row>
    <row r="339" spans="3:5" ht="20.25" customHeight="1">
      <c r="C339" s="91" t="s">
        <v>8117</v>
      </c>
      <c r="E339" s="112"/>
    </row>
    <row r="340" spans="3:5" ht="20.25" customHeight="1">
      <c r="C340" s="91" t="s">
        <v>8118</v>
      </c>
      <c r="E340" s="112"/>
    </row>
    <row r="341" spans="3:5" ht="20.25" customHeight="1">
      <c r="C341" s="91" t="s">
        <v>8119</v>
      </c>
      <c r="E341" s="112"/>
    </row>
    <row r="342" spans="3:5" ht="20.25" customHeight="1">
      <c r="C342" s="91" t="s">
        <v>8120</v>
      </c>
      <c r="E342" s="112"/>
    </row>
    <row r="343" spans="3:5" ht="20.25" customHeight="1">
      <c r="C343" s="91" t="s">
        <v>8121</v>
      </c>
      <c r="E343" s="112"/>
    </row>
    <row r="344" spans="3:5" ht="20.25" customHeight="1">
      <c r="C344" s="91" t="s">
        <v>8122</v>
      </c>
      <c r="E344" s="112"/>
    </row>
    <row r="345" spans="3:5" ht="20.25" customHeight="1">
      <c r="C345" s="97" t="s">
        <v>8123</v>
      </c>
      <c r="E345" s="112"/>
    </row>
    <row r="346" spans="3:5" ht="20.25" customHeight="1">
      <c r="C346" s="97" t="s">
        <v>8124</v>
      </c>
      <c r="E346" s="112"/>
    </row>
    <row r="347" spans="3:5" ht="20.25" customHeight="1">
      <c r="C347" s="91" t="s">
        <v>8125</v>
      </c>
      <c r="E347" s="112"/>
    </row>
    <row r="348" spans="3:5" ht="20.25" customHeight="1">
      <c r="C348" s="91" t="s">
        <v>8126</v>
      </c>
      <c r="E348" s="108">
        <v>45148</v>
      </c>
    </row>
    <row r="349" spans="3:5" ht="20.25" customHeight="1">
      <c r="C349" s="97" t="s">
        <v>8127</v>
      </c>
      <c r="E349" s="113"/>
    </row>
    <row r="350" spans="3:5" ht="20.25" customHeight="1">
      <c r="C350" s="91" t="s">
        <v>8128</v>
      </c>
      <c r="E350" s="107"/>
    </row>
    <row r="351" spans="3:5" ht="20.25" customHeight="1">
      <c r="C351" s="91" t="s">
        <v>8129</v>
      </c>
      <c r="E351" s="129"/>
    </row>
    <row r="352" spans="3:5" ht="20.25" customHeight="1">
      <c r="C352" s="91" t="s">
        <v>8130</v>
      </c>
      <c r="E352" s="105">
        <v>44961</v>
      </c>
    </row>
    <row r="353" spans="3:5" ht="20.25" customHeight="1">
      <c r="C353" s="91" t="s">
        <v>8131</v>
      </c>
      <c r="E353" s="105">
        <v>44992</v>
      </c>
    </row>
    <row r="354" spans="3:5" ht="20.25" customHeight="1">
      <c r="C354" s="91" t="s">
        <v>8132</v>
      </c>
      <c r="E354" s="108">
        <v>45105</v>
      </c>
    </row>
    <row r="355" spans="3:5" ht="20.25" customHeight="1">
      <c r="C355" s="91" t="s">
        <v>8133</v>
      </c>
      <c r="E355" s="105">
        <v>44961</v>
      </c>
    </row>
    <row r="356" spans="3:5" ht="20.25" customHeight="1">
      <c r="C356" s="91" t="s">
        <v>8134</v>
      </c>
      <c r="E356" s="105">
        <v>44961</v>
      </c>
    </row>
    <row r="357" spans="3:5" ht="20.25" customHeight="1">
      <c r="C357" s="91" t="s">
        <v>8135</v>
      </c>
      <c r="E357" s="112"/>
    </row>
    <row r="358" spans="3:5" ht="20.25" customHeight="1">
      <c r="C358" s="91" t="s">
        <v>8136</v>
      </c>
      <c r="E358" s="105">
        <v>44992</v>
      </c>
    </row>
    <row r="359" spans="3:5" ht="20.25" customHeight="1">
      <c r="C359" s="91" t="s">
        <v>8137</v>
      </c>
      <c r="E359" s="105">
        <v>44961</v>
      </c>
    </row>
    <row r="360" spans="3:5" ht="20.25" customHeight="1">
      <c r="C360" s="91" t="s">
        <v>8138</v>
      </c>
      <c r="E360" s="105">
        <v>44961</v>
      </c>
    </row>
    <row r="361" spans="3:5" ht="20.25" customHeight="1">
      <c r="C361" s="91" t="s">
        <v>8139</v>
      </c>
      <c r="E361" s="105">
        <v>44961</v>
      </c>
    </row>
    <row r="362" spans="3:5" ht="20.25" customHeight="1">
      <c r="C362" s="91" t="s">
        <v>7805</v>
      </c>
      <c r="E362" s="105">
        <v>44961</v>
      </c>
    </row>
    <row r="363" spans="3:5" ht="20.25" customHeight="1">
      <c r="C363" s="91" t="s">
        <v>7807</v>
      </c>
      <c r="E363" s="112"/>
    </row>
    <row r="364" spans="3:5" ht="20.25" customHeight="1">
      <c r="C364" s="91" t="s">
        <v>7809</v>
      </c>
      <c r="E364" s="105">
        <v>44961</v>
      </c>
    </row>
    <row r="365" spans="3:5" ht="20.25" customHeight="1">
      <c r="C365" s="91" t="s">
        <v>8140</v>
      </c>
      <c r="E365" s="112"/>
    </row>
    <row r="366" spans="3:5" ht="20.25" customHeight="1">
      <c r="C366" s="91" t="s">
        <v>8141</v>
      </c>
      <c r="E366" s="112"/>
    </row>
    <row r="367" spans="3:5" ht="20.25" customHeight="1">
      <c r="C367" s="91" t="s">
        <v>8142</v>
      </c>
      <c r="E367" s="108">
        <v>45106</v>
      </c>
    </row>
    <row r="368" spans="3:5" ht="20.25" customHeight="1">
      <c r="C368" s="91" t="s">
        <v>8143</v>
      </c>
      <c r="E368" s="112"/>
    </row>
    <row r="369" spans="3:5" ht="20.25" customHeight="1">
      <c r="C369" s="91" t="s">
        <v>8144</v>
      </c>
      <c r="E369" s="108">
        <v>45105</v>
      </c>
    </row>
    <row r="370" spans="3:5" ht="20.25" customHeight="1">
      <c r="C370" s="91" t="s">
        <v>8145</v>
      </c>
      <c r="E370" s="108">
        <v>45148</v>
      </c>
    </row>
    <row r="371" spans="3:5" ht="20.25" customHeight="1">
      <c r="C371" s="91" t="s">
        <v>8146</v>
      </c>
      <c r="E371" s="112"/>
    </row>
    <row r="372" spans="3:5" ht="20.25" customHeight="1">
      <c r="C372" s="91" t="s">
        <v>8147</v>
      </c>
      <c r="E372" s="112"/>
    </row>
    <row r="373" spans="3:5" ht="20.25" customHeight="1">
      <c r="C373" s="91" t="s">
        <v>8148</v>
      </c>
      <c r="E373" s="108">
        <v>45105</v>
      </c>
    </row>
    <row r="374" spans="3:5" ht="20.25" customHeight="1">
      <c r="C374" s="91" t="s">
        <v>8149</v>
      </c>
      <c r="E374" s="103" t="s">
        <v>4357</v>
      </c>
    </row>
    <row r="375" spans="3:5" ht="20.25" customHeight="1">
      <c r="C375" s="91" t="s">
        <v>8150</v>
      </c>
      <c r="E375" s="108">
        <v>45148</v>
      </c>
    </row>
    <row r="376" spans="3:5" ht="20.25" customHeight="1">
      <c r="C376" s="91" t="s">
        <v>8151</v>
      </c>
      <c r="E376" s="112"/>
    </row>
    <row r="377" spans="3:5" ht="20.25" customHeight="1">
      <c r="C377" s="97" t="s">
        <v>7811</v>
      </c>
      <c r="E377" s="129"/>
    </row>
    <row r="378" spans="3:5" ht="20.25" customHeight="1">
      <c r="C378" s="91" t="s">
        <v>7813</v>
      </c>
      <c r="E378" s="108">
        <v>45148</v>
      </c>
    </row>
    <row r="379" spans="3:5" ht="20.25" customHeight="1">
      <c r="C379" s="91" t="s">
        <v>8152</v>
      </c>
      <c r="E379" s="108">
        <v>45148</v>
      </c>
    </row>
    <row r="380" spans="3:5" ht="20.25" customHeight="1">
      <c r="C380" s="91" t="s">
        <v>8153</v>
      </c>
      <c r="E380" s="108">
        <v>45148</v>
      </c>
    </row>
    <row r="381" spans="3:5" ht="20.25" customHeight="1">
      <c r="C381" s="91" t="s">
        <v>8154</v>
      </c>
      <c r="E381" s="109"/>
    </row>
    <row r="382" spans="3:5" ht="20.25" customHeight="1">
      <c r="C382" s="91" t="s">
        <v>8155</v>
      </c>
      <c r="E382" s="108">
        <v>45148</v>
      </c>
    </row>
    <row r="383" spans="3:5" ht="20.25" customHeight="1">
      <c r="C383" s="91" t="s">
        <v>8156</v>
      </c>
      <c r="E383" s="108">
        <v>45148</v>
      </c>
    </row>
    <row r="384" spans="3:5" ht="20.25" customHeight="1">
      <c r="C384" s="91" t="s">
        <v>8157</v>
      </c>
      <c r="E384" s="108">
        <v>45148</v>
      </c>
    </row>
    <row r="385" spans="3:5" ht="20.25" customHeight="1">
      <c r="C385" s="91" t="s">
        <v>8158</v>
      </c>
      <c r="E385" s="108">
        <v>45105</v>
      </c>
    </row>
    <row r="386" spans="3:5" ht="20.25" customHeight="1">
      <c r="C386" s="91" t="s">
        <v>8159</v>
      </c>
      <c r="E386" s="105">
        <v>44961</v>
      </c>
    </row>
    <row r="387" spans="3:5" ht="20.25" customHeight="1">
      <c r="C387" s="91" t="s">
        <v>8160</v>
      </c>
      <c r="E387" s="105">
        <v>44961</v>
      </c>
    </row>
    <row r="388" spans="3:5" ht="20.25" customHeight="1">
      <c r="C388" s="91" t="s">
        <v>8161</v>
      </c>
      <c r="E388" s="105">
        <v>44992</v>
      </c>
    </row>
    <row r="389" spans="3:5" ht="20.25" customHeight="1">
      <c r="C389" s="91" t="s">
        <v>8162</v>
      </c>
      <c r="E389" s="105">
        <v>44992</v>
      </c>
    </row>
    <row r="390" spans="3:5" ht="20.25" customHeight="1">
      <c r="C390" s="91" t="s">
        <v>8163</v>
      </c>
      <c r="E390" s="112"/>
    </row>
    <row r="391" spans="3:5" ht="20.25" customHeight="1">
      <c r="C391" s="91" t="s">
        <v>8164</v>
      </c>
      <c r="E391" s="112"/>
    </row>
    <row r="392" spans="3:5" ht="20.25" customHeight="1">
      <c r="C392" s="97" t="s">
        <v>8165</v>
      </c>
      <c r="E392" s="112"/>
    </row>
    <row r="393" spans="3:5" ht="20.25" customHeight="1">
      <c r="C393" s="97" t="s">
        <v>8166</v>
      </c>
      <c r="E393" s="108">
        <v>45105</v>
      </c>
    </row>
    <row r="394" spans="3:5" ht="20.25" customHeight="1">
      <c r="C394" s="91" t="s">
        <v>8167</v>
      </c>
      <c r="E394" s="105">
        <v>44961</v>
      </c>
    </row>
    <row r="395" spans="3:5" ht="20.25" customHeight="1">
      <c r="C395" s="91" t="s">
        <v>8168</v>
      </c>
      <c r="E395" s="105">
        <v>44961</v>
      </c>
    </row>
    <row r="396" spans="3:5" ht="20.25" customHeight="1">
      <c r="C396" s="91" t="s">
        <v>8169</v>
      </c>
      <c r="E396" s="108">
        <v>45105</v>
      </c>
    </row>
    <row r="397" spans="3:5" ht="20.25" customHeight="1">
      <c r="C397" s="91" t="s">
        <v>8170</v>
      </c>
      <c r="E397" s="105">
        <v>44961</v>
      </c>
    </row>
    <row r="398" spans="3:5" ht="20.25" customHeight="1">
      <c r="C398" s="91" t="s">
        <v>8171</v>
      </c>
      <c r="E398" s="108">
        <v>45105</v>
      </c>
    </row>
    <row r="399" spans="3:5" ht="20.25" customHeight="1">
      <c r="C399" s="91" t="s">
        <v>8172</v>
      </c>
      <c r="E399" s="105">
        <v>44961</v>
      </c>
    </row>
    <row r="400" spans="3:5" ht="20.25" customHeight="1">
      <c r="C400" s="91" t="s">
        <v>8173</v>
      </c>
      <c r="E400" s="112"/>
    </row>
    <row r="401" spans="3:5" ht="20.25" customHeight="1">
      <c r="C401" s="91" t="s">
        <v>8174</v>
      </c>
      <c r="E401" s="112"/>
    </row>
    <row r="402" spans="3:5" ht="20.25" customHeight="1">
      <c r="C402" s="91" t="s">
        <v>7815</v>
      </c>
      <c r="E402" s="105">
        <v>44992</v>
      </c>
    </row>
    <row r="403" spans="3:5" ht="20.25" customHeight="1">
      <c r="C403" s="91" t="s">
        <v>8175</v>
      </c>
      <c r="E403" s="112"/>
    </row>
    <row r="404" spans="3:5" ht="20.25" customHeight="1">
      <c r="C404" s="91" t="s">
        <v>8176</v>
      </c>
      <c r="E404" s="112"/>
    </row>
    <row r="405" spans="3:5" ht="20.25" customHeight="1">
      <c r="C405" s="91" t="s">
        <v>8177</v>
      </c>
      <c r="E405" s="108">
        <v>45148</v>
      </c>
    </row>
    <row r="406" spans="3:5" ht="20.25" customHeight="1">
      <c r="C406" s="91" t="s">
        <v>8178</v>
      </c>
      <c r="E406" s="105">
        <v>44889</v>
      </c>
    </row>
    <row r="407" spans="3:5" ht="20.25" customHeight="1">
      <c r="C407" s="91" t="s">
        <v>8179</v>
      </c>
      <c r="E407" s="105">
        <v>44889</v>
      </c>
    </row>
    <row r="408" spans="3:5" ht="20.25" customHeight="1">
      <c r="C408" s="91" t="s">
        <v>8180</v>
      </c>
      <c r="E408" s="105">
        <v>44992</v>
      </c>
    </row>
    <row r="409" spans="3:5" ht="20.25" customHeight="1">
      <c r="C409" s="91" t="s">
        <v>8181</v>
      </c>
      <c r="E409" s="111">
        <v>45111</v>
      </c>
    </row>
    <row r="410" spans="3:5" ht="20.25" customHeight="1">
      <c r="C410" s="91" t="s">
        <v>8182</v>
      </c>
      <c r="E410" s="103" t="s">
        <v>4357</v>
      </c>
    </row>
    <row r="411" spans="3:5" ht="20.25" customHeight="1">
      <c r="C411" s="91" t="s">
        <v>8183</v>
      </c>
      <c r="E411" s="103" t="s">
        <v>4357</v>
      </c>
    </row>
    <row r="412" spans="3:5" ht="20.25" customHeight="1">
      <c r="C412" s="91" t="s">
        <v>8184</v>
      </c>
      <c r="E412" s="103" t="s">
        <v>4357</v>
      </c>
    </row>
    <row r="413" spans="3:5" ht="20.25" customHeight="1">
      <c r="C413" s="91" t="s">
        <v>8185</v>
      </c>
      <c r="E413" s="112"/>
    </row>
    <row r="414" spans="3:5" ht="20.25" customHeight="1">
      <c r="C414" s="91" t="s">
        <v>8186</v>
      </c>
      <c r="E414" s="112"/>
    </row>
    <row r="415" spans="3:5" ht="20.25" customHeight="1">
      <c r="C415" s="91" t="s">
        <v>8187</v>
      </c>
      <c r="E415" s="112"/>
    </row>
    <row r="416" spans="3:5" ht="20.25" customHeight="1">
      <c r="C416" s="91" t="s">
        <v>8188</v>
      </c>
      <c r="E416" s="112"/>
    </row>
    <row r="417" spans="3:5" ht="20.25" customHeight="1">
      <c r="C417" s="91" t="s">
        <v>8189</v>
      </c>
      <c r="E417" s="105">
        <v>44816</v>
      </c>
    </row>
    <row r="418" spans="3:5" ht="20.25" customHeight="1">
      <c r="C418" s="91" t="s">
        <v>8190</v>
      </c>
      <c r="E418" s="105">
        <v>44910</v>
      </c>
    </row>
    <row r="419" spans="3:5" ht="20.25" customHeight="1">
      <c r="C419" s="91" t="s">
        <v>8191</v>
      </c>
      <c r="E419" s="105">
        <v>44816</v>
      </c>
    </row>
    <row r="420" spans="3:5" ht="20.25" customHeight="1">
      <c r="C420" s="91" t="s">
        <v>8192</v>
      </c>
      <c r="E420" s="103" t="s">
        <v>4357</v>
      </c>
    </row>
    <row r="421" spans="3:5" ht="20.25" customHeight="1">
      <c r="C421" s="91" t="s">
        <v>8193</v>
      </c>
      <c r="E421" s="105">
        <v>44923</v>
      </c>
    </row>
    <row r="422" spans="3:5" ht="20.25" customHeight="1">
      <c r="C422" s="91" t="s">
        <v>8194</v>
      </c>
      <c r="E422" s="103"/>
    </row>
    <row r="423" spans="3:5" ht="20.25" customHeight="1">
      <c r="C423" s="91" t="s">
        <v>8195</v>
      </c>
      <c r="E423" s="105">
        <v>45013</v>
      </c>
    </row>
    <row r="424" spans="3:5" ht="20.25" customHeight="1">
      <c r="C424" s="91" t="s">
        <v>8196</v>
      </c>
      <c r="E424" s="105">
        <v>44923</v>
      </c>
    </row>
    <row r="425" spans="3:5" ht="20.25" customHeight="1">
      <c r="C425" s="91" t="s">
        <v>8197</v>
      </c>
      <c r="E425" s="105">
        <v>44923</v>
      </c>
    </row>
    <row r="426" spans="3:5" ht="20.25" customHeight="1">
      <c r="C426" s="91" t="s">
        <v>8198</v>
      </c>
      <c r="E426" s="105">
        <v>44816</v>
      </c>
    </row>
    <row r="427" spans="3:5" ht="20.25" customHeight="1">
      <c r="C427" s="91" t="s">
        <v>7817</v>
      </c>
      <c r="E427" s="103" t="s">
        <v>4357</v>
      </c>
    </row>
    <row r="428" spans="3:5" ht="20.25" customHeight="1">
      <c r="C428" s="91" t="s">
        <v>8199</v>
      </c>
      <c r="E428" s="103" t="s">
        <v>4357</v>
      </c>
    </row>
    <row r="429" spans="3:5" ht="20.25" customHeight="1">
      <c r="C429" s="91" t="s">
        <v>8200</v>
      </c>
      <c r="E429" s="105">
        <v>44816</v>
      </c>
    </row>
    <row r="430" spans="3:5" ht="20.25" customHeight="1">
      <c r="C430" s="91" t="s">
        <v>8201</v>
      </c>
      <c r="E430" s="105">
        <v>44816</v>
      </c>
    </row>
    <row r="431" spans="3:5" ht="20.25" customHeight="1">
      <c r="C431" s="91" t="s">
        <v>8202</v>
      </c>
      <c r="E431" s="105">
        <v>44816</v>
      </c>
    </row>
    <row r="432" spans="3:5" ht="20.25" customHeight="1">
      <c r="C432" s="91" t="s">
        <v>8203</v>
      </c>
      <c r="E432" s="103" t="s">
        <v>4357</v>
      </c>
    </row>
    <row r="433" spans="3:5" ht="20.25" customHeight="1">
      <c r="C433" s="91" t="s">
        <v>8204</v>
      </c>
      <c r="E433" s="119">
        <v>45034</v>
      </c>
    </row>
    <row r="434" spans="3:5" ht="20.25" customHeight="1">
      <c r="C434" s="91" t="s">
        <v>8205</v>
      </c>
      <c r="E434" s="105">
        <v>44992</v>
      </c>
    </row>
    <row r="435" spans="3:5" ht="20.25" customHeight="1">
      <c r="C435" s="91" t="s">
        <v>8206</v>
      </c>
      <c r="E435" s="105">
        <v>44992</v>
      </c>
    </row>
    <row r="436" spans="3:5" ht="20.25" customHeight="1">
      <c r="C436" s="91" t="s">
        <v>8207</v>
      </c>
      <c r="E436" s="119">
        <v>45034</v>
      </c>
    </row>
    <row r="437" spans="3:5" ht="20.25" customHeight="1">
      <c r="C437" s="91" t="s">
        <v>8208</v>
      </c>
      <c r="E437" s="103" t="s">
        <v>4357</v>
      </c>
    </row>
    <row r="438" spans="3:5" ht="20.25" customHeight="1">
      <c r="C438" s="91" t="s">
        <v>8209</v>
      </c>
      <c r="E438" s="103" t="s">
        <v>4357</v>
      </c>
    </row>
    <row r="439" spans="3:5" ht="20.25" customHeight="1">
      <c r="C439" s="91" t="s">
        <v>8210</v>
      </c>
      <c r="E439" s="103" t="s">
        <v>4357</v>
      </c>
    </row>
    <row r="440" spans="3:5" ht="20.25" customHeight="1">
      <c r="C440" s="91" t="s">
        <v>8211</v>
      </c>
      <c r="E440" s="105">
        <v>44862</v>
      </c>
    </row>
    <row r="441" spans="3:5" ht="20.25" customHeight="1">
      <c r="C441" s="97" t="s">
        <v>8212</v>
      </c>
      <c r="E441" s="103" t="s">
        <v>4357</v>
      </c>
    </row>
    <row r="442" spans="3:5" ht="20.25" customHeight="1">
      <c r="C442" s="91" t="s">
        <v>8213</v>
      </c>
      <c r="E442" s="105">
        <v>44862</v>
      </c>
    </row>
    <row r="443" spans="3:5" ht="20.25" customHeight="1">
      <c r="C443" s="91" t="s">
        <v>8214</v>
      </c>
      <c r="E443" s="119">
        <v>45040</v>
      </c>
    </row>
    <row r="444" spans="3:5" ht="20.25" customHeight="1">
      <c r="C444" s="91" t="s">
        <v>8215</v>
      </c>
      <c r="E444" s="103" t="s">
        <v>4357</v>
      </c>
    </row>
    <row r="445" spans="3:5" ht="20.25" customHeight="1">
      <c r="C445" s="91" t="s">
        <v>8216</v>
      </c>
      <c r="E445" s="103" t="s">
        <v>4357</v>
      </c>
    </row>
    <row r="446" spans="3:5" ht="20.25" customHeight="1">
      <c r="C446" s="91" t="s">
        <v>8217</v>
      </c>
      <c r="E446" s="103" t="s">
        <v>4357</v>
      </c>
    </row>
    <row r="447" spans="3:5" ht="20.25" customHeight="1">
      <c r="C447" s="91" t="s">
        <v>8218</v>
      </c>
      <c r="E447" s="103" t="s">
        <v>4357</v>
      </c>
    </row>
    <row r="448" spans="3:5" ht="20.25" customHeight="1">
      <c r="C448" s="91" t="s">
        <v>8219</v>
      </c>
      <c r="E448" s="105">
        <v>44910</v>
      </c>
    </row>
    <row r="449" spans="3:5" ht="20.25" customHeight="1">
      <c r="C449" s="91" t="s">
        <v>8220</v>
      </c>
      <c r="E449" s="119">
        <v>45034</v>
      </c>
    </row>
    <row r="450" spans="3:5" ht="20.25" customHeight="1">
      <c r="C450" s="91" t="s">
        <v>8221</v>
      </c>
      <c r="E450" s="105">
        <v>44923</v>
      </c>
    </row>
    <row r="451" spans="3:5" ht="20.25" customHeight="1">
      <c r="C451" s="91" t="s">
        <v>8222</v>
      </c>
      <c r="E451" s="105">
        <v>44816</v>
      </c>
    </row>
    <row r="452" spans="3:5" ht="20.25" customHeight="1">
      <c r="C452" s="91" t="s">
        <v>8223</v>
      </c>
      <c r="E452" s="105">
        <v>44925</v>
      </c>
    </row>
    <row r="453" spans="3:5" ht="20.25" customHeight="1">
      <c r="C453" s="91" t="s">
        <v>8224</v>
      </c>
      <c r="E453" s="105">
        <v>44816</v>
      </c>
    </row>
    <row r="454" spans="3:5" ht="20.25" customHeight="1">
      <c r="C454" s="91" t="s">
        <v>8225</v>
      </c>
      <c r="E454" s="105">
        <v>44816</v>
      </c>
    </row>
    <row r="455" spans="3:5" ht="20.25" customHeight="1">
      <c r="C455" s="91" t="s">
        <v>8226</v>
      </c>
      <c r="E455" s="105">
        <v>44816</v>
      </c>
    </row>
    <row r="456" spans="3:5" ht="20.25" customHeight="1">
      <c r="C456" s="91" t="s">
        <v>8227</v>
      </c>
      <c r="E456" s="108">
        <v>45065</v>
      </c>
    </row>
    <row r="457" spans="3:5" ht="20.25" customHeight="1">
      <c r="C457" s="91" t="s">
        <v>8228</v>
      </c>
      <c r="E457" s="108">
        <v>45148</v>
      </c>
    </row>
    <row r="458" spans="3:5" ht="20.25" customHeight="1">
      <c r="C458" s="91" t="s">
        <v>8229</v>
      </c>
      <c r="E458" s="105">
        <v>44922</v>
      </c>
    </row>
    <row r="459" spans="3:5" ht="20.25" customHeight="1">
      <c r="C459" s="91" t="s">
        <v>8230</v>
      </c>
      <c r="E459" s="105">
        <v>44910</v>
      </c>
    </row>
    <row r="460" spans="3:5" ht="20.25" customHeight="1">
      <c r="C460" s="91" t="s">
        <v>8231</v>
      </c>
      <c r="E460" s="105">
        <v>44816</v>
      </c>
    </row>
    <row r="461" spans="3:5" ht="20.25" customHeight="1">
      <c r="C461" s="91" t="s">
        <v>8232</v>
      </c>
      <c r="E461" s="105">
        <v>44816</v>
      </c>
    </row>
    <row r="462" spans="3:5" ht="20.25" customHeight="1">
      <c r="C462" s="91" t="s">
        <v>8233</v>
      </c>
      <c r="E462" s="105">
        <v>44816</v>
      </c>
    </row>
    <row r="463" spans="3:5" ht="20.25" customHeight="1">
      <c r="C463" s="91" t="s">
        <v>8234</v>
      </c>
      <c r="E463" s="105">
        <v>44816</v>
      </c>
    </row>
    <row r="464" spans="3:5" ht="20.25" customHeight="1">
      <c r="C464" s="91" t="s">
        <v>8235</v>
      </c>
      <c r="E464" s="105">
        <v>44923</v>
      </c>
    </row>
    <row r="465" spans="3:5" ht="20.25" customHeight="1">
      <c r="C465" s="91" t="s">
        <v>8236</v>
      </c>
      <c r="E465" s="112"/>
    </row>
    <row r="466" spans="3:5" ht="20.25" customHeight="1">
      <c r="C466" s="91" t="s">
        <v>8237</v>
      </c>
      <c r="E466" s="130" t="s">
        <v>4357</v>
      </c>
    </row>
    <row r="467" spans="3:5" ht="20.25" customHeight="1">
      <c r="C467" s="91" t="s">
        <v>8238</v>
      </c>
      <c r="E467" s="130" t="s">
        <v>4357</v>
      </c>
    </row>
    <row r="468" spans="3:5" ht="20.25" customHeight="1">
      <c r="C468" s="91" t="s">
        <v>8239</v>
      </c>
      <c r="E468" s="119">
        <v>45013</v>
      </c>
    </row>
    <row r="469" spans="3:5" ht="20.25" customHeight="1">
      <c r="C469" s="91" t="s">
        <v>8240</v>
      </c>
      <c r="E469" s="105">
        <v>44889</v>
      </c>
    </row>
    <row r="470" spans="3:5" ht="20.25" customHeight="1">
      <c r="C470" s="91" t="s">
        <v>8241</v>
      </c>
      <c r="E470" s="106"/>
    </row>
    <row r="471" spans="3:5" ht="20.25" customHeight="1">
      <c r="C471" s="91" t="s">
        <v>8242</v>
      </c>
      <c r="E471" s="105">
        <v>44877</v>
      </c>
    </row>
    <row r="472" spans="3:5" ht="20.25" customHeight="1">
      <c r="C472" s="91" t="s">
        <v>8243</v>
      </c>
      <c r="E472" s="103" t="s">
        <v>4357</v>
      </c>
    </row>
    <row r="473" spans="3:5" ht="20.25" customHeight="1">
      <c r="C473" s="91" t="s">
        <v>8244</v>
      </c>
      <c r="E473" s="103" t="s">
        <v>4357</v>
      </c>
    </row>
    <row r="474" spans="3:5" ht="20.25" customHeight="1">
      <c r="C474" s="91" t="s">
        <v>8245</v>
      </c>
      <c r="E474" s="103" t="s">
        <v>4357</v>
      </c>
    </row>
    <row r="475" spans="3:5" ht="20.25" customHeight="1">
      <c r="C475" s="91" t="s">
        <v>8246</v>
      </c>
      <c r="E475" s="103" t="s">
        <v>4357</v>
      </c>
    </row>
    <row r="476" spans="3:5" ht="20.25" customHeight="1">
      <c r="C476" s="91" t="s">
        <v>8247</v>
      </c>
      <c r="E476" s="105">
        <v>44889</v>
      </c>
    </row>
    <row r="477" spans="3:5" ht="20.25" customHeight="1">
      <c r="C477" s="91" t="s">
        <v>8248</v>
      </c>
      <c r="E477" s="105">
        <v>44862</v>
      </c>
    </row>
    <row r="478" spans="3:5" ht="20.25" customHeight="1">
      <c r="C478" s="91" t="s">
        <v>8249</v>
      </c>
      <c r="E478" s="105">
        <v>44869</v>
      </c>
    </row>
    <row r="479" spans="3:5" ht="20.25" customHeight="1">
      <c r="C479" s="91" t="s">
        <v>8250</v>
      </c>
      <c r="E479" s="103" t="s">
        <v>4357</v>
      </c>
    </row>
    <row r="480" spans="3:5" ht="20.25" customHeight="1">
      <c r="C480" s="91" t="s">
        <v>8251</v>
      </c>
      <c r="E480" s="103" t="s">
        <v>4357</v>
      </c>
    </row>
    <row r="481" spans="3:5" ht="20.25" customHeight="1">
      <c r="C481" s="91" t="s">
        <v>8252</v>
      </c>
      <c r="E481" s="103" t="s">
        <v>4357</v>
      </c>
    </row>
    <row r="482" spans="3:5" ht="20.25" customHeight="1">
      <c r="C482" s="91" t="s">
        <v>8253</v>
      </c>
      <c r="E482" s="119">
        <v>45014</v>
      </c>
    </row>
    <row r="483" spans="3:5" ht="20.25" customHeight="1">
      <c r="C483" s="91" t="s">
        <v>8254</v>
      </c>
      <c r="E483" s="108">
        <v>45065</v>
      </c>
    </row>
    <row r="484" spans="3:5" ht="20.25" customHeight="1">
      <c r="C484" s="91" t="s">
        <v>8255</v>
      </c>
      <c r="E484" s="105">
        <v>45056</v>
      </c>
    </row>
    <row r="485" spans="3:5" ht="20.25" customHeight="1">
      <c r="C485" s="91" t="s">
        <v>8256</v>
      </c>
      <c r="E485" s="108">
        <v>45049</v>
      </c>
    </row>
    <row r="486" spans="3:5" ht="20.25" customHeight="1">
      <c r="C486" s="91" t="s">
        <v>8257</v>
      </c>
      <c r="E486" s="105">
        <v>45056</v>
      </c>
    </row>
    <row r="487" spans="3:5" ht="20.25" customHeight="1">
      <c r="C487" s="91" t="s">
        <v>8258</v>
      </c>
      <c r="E487" s="103" t="s">
        <v>4357</v>
      </c>
    </row>
    <row r="488" spans="3:5" ht="20.25" customHeight="1">
      <c r="C488" s="91" t="s">
        <v>8259</v>
      </c>
      <c r="E488" s="105">
        <v>44862</v>
      </c>
    </row>
    <row r="489" spans="3:5" ht="20.25" customHeight="1">
      <c r="C489" s="91" t="s">
        <v>8260</v>
      </c>
      <c r="E489" s="105">
        <v>44910</v>
      </c>
    </row>
    <row r="490" spans="3:5" ht="20.25" customHeight="1">
      <c r="C490" s="91" t="s">
        <v>8261</v>
      </c>
      <c r="E490" s="103" t="s">
        <v>4357</v>
      </c>
    </row>
    <row r="491" spans="3:5" ht="20.25" customHeight="1">
      <c r="C491" s="91" t="s">
        <v>8262</v>
      </c>
      <c r="E491" s="103" t="s">
        <v>4357</v>
      </c>
    </row>
    <row r="492" spans="3:5" ht="20.25" customHeight="1">
      <c r="C492" s="91" t="s">
        <v>8263</v>
      </c>
      <c r="E492" s="105">
        <v>44890</v>
      </c>
    </row>
    <row r="493" spans="3:5" ht="20.25" customHeight="1">
      <c r="C493" s="91" t="s">
        <v>7819</v>
      </c>
      <c r="E493" s="105">
        <v>44869</v>
      </c>
    </row>
    <row r="494" spans="3:5" ht="20.25" customHeight="1">
      <c r="C494" s="91" t="s">
        <v>8264</v>
      </c>
      <c r="E494" s="105">
        <v>44867</v>
      </c>
    </row>
    <row r="495" spans="3:5" ht="20.25" customHeight="1">
      <c r="C495" s="91" t="s">
        <v>8265</v>
      </c>
      <c r="E495" s="103" t="s">
        <v>4357</v>
      </c>
    </row>
    <row r="496" spans="3:5" ht="20.25" customHeight="1">
      <c r="C496" s="91" t="s">
        <v>8266</v>
      </c>
      <c r="E496" s="103" t="s">
        <v>4357</v>
      </c>
    </row>
    <row r="497" spans="3:5" ht="20.25" customHeight="1">
      <c r="C497" s="97" t="s">
        <v>8267</v>
      </c>
      <c r="E497" s="103" t="s">
        <v>4357</v>
      </c>
    </row>
    <row r="498" spans="3:5" ht="20.25" customHeight="1">
      <c r="C498" s="91" t="s">
        <v>8268</v>
      </c>
      <c r="E498" s="108">
        <v>45049</v>
      </c>
    </row>
    <row r="499" spans="3:5" ht="20.25" customHeight="1">
      <c r="C499" s="91" t="s">
        <v>8269</v>
      </c>
      <c r="E499" s="105">
        <v>44923</v>
      </c>
    </row>
    <row r="500" spans="3:5" ht="20.25" customHeight="1">
      <c r="C500" s="91" t="s">
        <v>8270</v>
      </c>
      <c r="E500" s="103" t="s">
        <v>4357</v>
      </c>
    </row>
    <row r="501" spans="3:5" ht="20.25" customHeight="1">
      <c r="C501" s="91" t="s">
        <v>8271</v>
      </c>
      <c r="E501" s="105">
        <v>44877</v>
      </c>
    </row>
    <row r="502" spans="3:5" ht="20.25" customHeight="1">
      <c r="C502" s="91" t="s">
        <v>8272</v>
      </c>
      <c r="E502" s="105">
        <v>44862</v>
      </c>
    </row>
    <row r="503" spans="3:5" ht="20.25" customHeight="1">
      <c r="C503" s="97" t="s">
        <v>8273</v>
      </c>
      <c r="E503" s="105">
        <v>44862</v>
      </c>
    </row>
    <row r="504" spans="3:5" ht="20.25" customHeight="1">
      <c r="C504" s="91" t="s">
        <v>8274</v>
      </c>
      <c r="E504" s="103" t="s">
        <v>4357</v>
      </c>
    </row>
    <row r="505" spans="3:5" ht="20.25" customHeight="1">
      <c r="C505" s="91" t="s">
        <v>8275</v>
      </c>
      <c r="E505" s="105">
        <v>44889</v>
      </c>
    </row>
    <row r="506" spans="3:5" ht="20.25" customHeight="1">
      <c r="C506" s="91" t="s">
        <v>8276</v>
      </c>
      <c r="E506" s="103" t="s">
        <v>4357</v>
      </c>
    </row>
    <row r="507" spans="3:5" ht="20.25" customHeight="1">
      <c r="C507" s="91" t="s">
        <v>8277</v>
      </c>
      <c r="E507" s="103" t="s">
        <v>4357</v>
      </c>
    </row>
    <row r="508" spans="3:5" ht="20.25" customHeight="1">
      <c r="C508" s="91" t="s">
        <v>8278</v>
      </c>
      <c r="E508" s="103" t="s">
        <v>4357</v>
      </c>
    </row>
    <row r="509" spans="3:5" ht="20.25" customHeight="1">
      <c r="C509" s="91" t="s">
        <v>8279</v>
      </c>
      <c r="E509" s="105">
        <v>44862</v>
      </c>
    </row>
    <row r="510" spans="3:5" ht="20.25" customHeight="1">
      <c r="C510" s="91" t="s">
        <v>8280</v>
      </c>
      <c r="E510" s="105">
        <v>44862</v>
      </c>
    </row>
    <row r="511" spans="3:5" ht="20.25" customHeight="1">
      <c r="C511" s="91" t="s">
        <v>8281</v>
      </c>
      <c r="E511" s="105">
        <v>44889</v>
      </c>
    </row>
    <row r="512" spans="3:5" ht="20.25" customHeight="1">
      <c r="C512" s="91" t="s">
        <v>7821</v>
      </c>
      <c r="E512" s="105">
        <v>44869</v>
      </c>
    </row>
    <row r="513" spans="3:5" ht="20.25" customHeight="1">
      <c r="C513" s="91" t="s">
        <v>8282</v>
      </c>
      <c r="E513" s="110">
        <v>45013</v>
      </c>
    </row>
    <row r="514" spans="3:5" ht="20.25" customHeight="1">
      <c r="C514" s="91" t="s">
        <v>8283</v>
      </c>
      <c r="E514" s="110">
        <v>45013</v>
      </c>
    </row>
    <row r="515" spans="3:5" ht="20.25" customHeight="1">
      <c r="C515" s="91" t="s">
        <v>8284</v>
      </c>
      <c r="E515" s="105">
        <v>44816</v>
      </c>
    </row>
    <row r="516" spans="3:5" ht="20.25" customHeight="1">
      <c r="C516" s="91" t="s">
        <v>8285</v>
      </c>
      <c r="E516" s="103" t="s">
        <v>4357</v>
      </c>
    </row>
    <row r="517" spans="3:5" ht="20.25" customHeight="1">
      <c r="C517" s="91" t="s">
        <v>8286</v>
      </c>
      <c r="E517" s="103" t="s">
        <v>4357</v>
      </c>
    </row>
    <row r="518" spans="3:5" ht="20.25" customHeight="1">
      <c r="C518" s="91" t="s">
        <v>8287</v>
      </c>
      <c r="E518" s="103" t="s">
        <v>4357</v>
      </c>
    </row>
    <row r="519" spans="3:5" ht="20.25" customHeight="1">
      <c r="C519" s="91" t="s">
        <v>8288</v>
      </c>
      <c r="E519" s="103" t="s">
        <v>4357</v>
      </c>
    </row>
    <row r="520" spans="3:5" ht="20.25" customHeight="1">
      <c r="C520" s="91" t="s">
        <v>7823</v>
      </c>
      <c r="E520" s="103" t="s">
        <v>4357</v>
      </c>
    </row>
    <row r="521" spans="3:5" ht="20.25" customHeight="1">
      <c r="C521" s="91" t="s">
        <v>7825</v>
      </c>
      <c r="E521" s="103" t="s">
        <v>4357</v>
      </c>
    </row>
    <row r="522" spans="3:5" ht="20.25" customHeight="1">
      <c r="C522" s="91" t="s">
        <v>8289</v>
      </c>
      <c r="E522" s="103" t="s">
        <v>4357</v>
      </c>
    </row>
    <row r="523" spans="3:5" ht="20.25" customHeight="1">
      <c r="C523" s="91" t="s">
        <v>8290</v>
      </c>
      <c r="E523" s="103" t="s">
        <v>4357</v>
      </c>
    </row>
    <row r="524" spans="3:5" ht="20.25" customHeight="1">
      <c r="C524" s="91" t="s">
        <v>8291</v>
      </c>
      <c r="E524" s="105">
        <v>44869</v>
      </c>
    </row>
    <row r="525" spans="3:5" ht="20.25" customHeight="1">
      <c r="C525" s="91" t="s">
        <v>8292</v>
      </c>
      <c r="E525" s="105">
        <v>44862</v>
      </c>
    </row>
    <row r="526" spans="3:5" ht="20.25" customHeight="1">
      <c r="C526" s="91" t="s">
        <v>7827</v>
      </c>
      <c r="E526" s="105">
        <v>44869</v>
      </c>
    </row>
    <row r="527" spans="3:5" ht="20.25" customHeight="1">
      <c r="C527" s="91" t="s">
        <v>8293</v>
      </c>
      <c r="E527" s="103" t="s">
        <v>4357</v>
      </c>
    </row>
    <row r="528" spans="3:5" ht="20.25" customHeight="1">
      <c r="C528" s="91" t="s">
        <v>8294</v>
      </c>
      <c r="E528" s="103" t="s">
        <v>4357</v>
      </c>
    </row>
    <row r="529" spans="3:5" ht="20.25" customHeight="1">
      <c r="C529" s="91" t="s">
        <v>8295</v>
      </c>
      <c r="E529" s="103" t="s">
        <v>4357</v>
      </c>
    </row>
    <row r="530" spans="3:5" ht="20.25" customHeight="1">
      <c r="C530" s="91" t="s">
        <v>8296</v>
      </c>
      <c r="E530" s="105">
        <v>44889</v>
      </c>
    </row>
    <row r="531" spans="3:5" ht="20.25" customHeight="1">
      <c r="C531" s="91" t="s">
        <v>8297</v>
      </c>
      <c r="E531" s="105">
        <v>44910</v>
      </c>
    </row>
    <row r="532" spans="3:5" ht="20.25" customHeight="1">
      <c r="C532" s="91" t="s">
        <v>8298</v>
      </c>
      <c r="E532" s="105">
        <v>44869</v>
      </c>
    </row>
    <row r="533" spans="3:5" ht="20.25" customHeight="1">
      <c r="C533" s="91" t="s">
        <v>8299</v>
      </c>
      <c r="E533" s="105">
        <v>44889</v>
      </c>
    </row>
    <row r="534" spans="3:5" ht="20.25" customHeight="1">
      <c r="C534" s="91" t="s">
        <v>8300</v>
      </c>
      <c r="E534" s="105">
        <v>44910</v>
      </c>
    </row>
    <row r="535" spans="3:5" ht="20.25" customHeight="1">
      <c r="C535" s="91" t="s">
        <v>8301</v>
      </c>
      <c r="E535" s="105">
        <v>44889</v>
      </c>
    </row>
    <row r="536" spans="3:5" ht="20.25" customHeight="1">
      <c r="C536" s="91" t="s">
        <v>8302</v>
      </c>
      <c r="E536" s="105">
        <v>44910</v>
      </c>
    </row>
    <row r="537" spans="3:5" ht="20.25" customHeight="1">
      <c r="C537" s="91" t="s">
        <v>8303</v>
      </c>
      <c r="E537" s="105">
        <v>44877</v>
      </c>
    </row>
    <row r="538" spans="3:5" ht="20.25" customHeight="1">
      <c r="C538" s="91" t="s">
        <v>8304</v>
      </c>
      <c r="E538" s="105">
        <v>44862</v>
      </c>
    </row>
    <row r="539" spans="3:5" ht="20.25" customHeight="1">
      <c r="C539" s="91" t="s">
        <v>8305</v>
      </c>
      <c r="E539" s="103" t="s">
        <v>4357</v>
      </c>
    </row>
    <row r="540" spans="3:5" ht="20.25" customHeight="1">
      <c r="C540" s="91" t="s">
        <v>8306</v>
      </c>
      <c r="E540" s="103" t="s">
        <v>4357</v>
      </c>
    </row>
    <row r="541" spans="3:5" ht="20.25" customHeight="1">
      <c r="C541" s="91" t="s">
        <v>8307</v>
      </c>
      <c r="E541" s="103" t="s">
        <v>4357</v>
      </c>
    </row>
    <row r="542" spans="3:5" ht="20.25" customHeight="1">
      <c r="C542" s="91" t="s">
        <v>8308</v>
      </c>
      <c r="E542" s="103" t="s">
        <v>4357</v>
      </c>
    </row>
    <row r="543" spans="3:5" ht="20.25" customHeight="1">
      <c r="C543" s="91" t="s">
        <v>8309</v>
      </c>
      <c r="E543" s="105">
        <v>44816</v>
      </c>
    </row>
    <row r="544" spans="3:5" ht="20.25" customHeight="1">
      <c r="C544" s="91" t="s">
        <v>8310</v>
      </c>
      <c r="E544" s="105">
        <v>44961</v>
      </c>
    </row>
    <row r="545" spans="3:5" ht="20.25" customHeight="1">
      <c r="C545" s="91" t="s">
        <v>8311</v>
      </c>
      <c r="E545" s="103" t="s">
        <v>4357</v>
      </c>
    </row>
    <row r="546" spans="3:5" ht="20.25" customHeight="1">
      <c r="C546" s="91" t="s">
        <v>8312</v>
      </c>
      <c r="E546" s="105">
        <v>44889</v>
      </c>
    </row>
    <row r="547" spans="3:5" ht="20.25" customHeight="1">
      <c r="C547" s="91" t="s">
        <v>8313</v>
      </c>
      <c r="E547" s="105">
        <v>44816</v>
      </c>
    </row>
    <row r="548" spans="3:5" ht="20.25" customHeight="1">
      <c r="C548" s="91" t="s">
        <v>8314</v>
      </c>
      <c r="E548" s="105">
        <v>44961</v>
      </c>
    </row>
    <row r="549" spans="3:5" ht="20.25" customHeight="1">
      <c r="C549" s="91" t="s">
        <v>8315</v>
      </c>
      <c r="E549" s="105">
        <v>44910</v>
      </c>
    </row>
    <row r="550" spans="3:5" ht="20.25" customHeight="1">
      <c r="C550" s="91" t="s">
        <v>8316</v>
      </c>
      <c r="E550" s="105">
        <v>44889</v>
      </c>
    </row>
    <row r="551" spans="3:5" ht="20.25" customHeight="1">
      <c r="C551" s="95" t="s">
        <v>8317</v>
      </c>
      <c r="E551" s="105">
        <v>44816</v>
      </c>
    </row>
    <row r="552" spans="3:5" ht="20.25" customHeight="1">
      <c r="C552" s="91" t="s">
        <v>8318</v>
      </c>
      <c r="E552" s="105">
        <v>44889</v>
      </c>
    </row>
    <row r="553" spans="3:5" ht="20.25" customHeight="1">
      <c r="C553" s="91" t="s">
        <v>8319</v>
      </c>
      <c r="E553" s="105">
        <v>44816</v>
      </c>
    </row>
    <row r="554" spans="3:5" ht="20.25" customHeight="1">
      <c r="C554" s="91" t="s">
        <v>8320</v>
      </c>
      <c r="E554" s="103" t="s">
        <v>4357</v>
      </c>
    </row>
    <row r="555" spans="3:5" ht="20.25" customHeight="1">
      <c r="C555" s="91" t="s">
        <v>8321</v>
      </c>
      <c r="E555" s="103" t="s">
        <v>4357</v>
      </c>
    </row>
    <row r="556" spans="3:5" ht="20.25" customHeight="1">
      <c r="C556" s="91" t="s">
        <v>7829</v>
      </c>
      <c r="E556" s="103" t="s">
        <v>4357</v>
      </c>
    </row>
    <row r="557" spans="3:5" ht="20.25" customHeight="1">
      <c r="C557" s="91" t="s">
        <v>7831</v>
      </c>
      <c r="E557" s="105">
        <v>44889</v>
      </c>
    </row>
    <row r="558" spans="3:5" ht="20.25" customHeight="1">
      <c r="C558" s="91" t="s">
        <v>8322</v>
      </c>
      <c r="E558" s="103" t="s">
        <v>4357</v>
      </c>
    </row>
    <row r="559" spans="3:5" ht="20.25" customHeight="1">
      <c r="C559" s="91" t="s">
        <v>7833</v>
      </c>
      <c r="E559" s="103" t="s">
        <v>4357</v>
      </c>
    </row>
    <row r="560" spans="3:5" ht="20.25" customHeight="1">
      <c r="C560" s="91" t="s">
        <v>8323</v>
      </c>
      <c r="E560" s="105">
        <v>44889</v>
      </c>
    </row>
    <row r="561" spans="3:5" ht="20.25" customHeight="1">
      <c r="C561" s="91" t="s">
        <v>8324</v>
      </c>
      <c r="E561" s="105">
        <v>44889</v>
      </c>
    </row>
    <row r="562" spans="3:5" ht="20.25" customHeight="1">
      <c r="C562" s="91" t="s">
        <v>8325</v>
      </c>
      <c r="E562" s="105"/>
    </row>
    <row r="563" spans="3:5" ht="20.25" customHeight="1">
      <c r="C563" s="91" t="s">
        <v>8326</v>
      </c>
      <c r="E563" s="105">
        <v>45097</v>
      </c>
    </row>
    <row r="564" spans="3:5" ht="20.25" customHeight="1">
      <c r="C564" s="91" t="s">
        <v>8327</v>
      </c>
      <c r="E564" s="105">
        <v>44910</v>
      </c>
    </row>
    <row r="565" spans="3:5" ht="20.25" customHeight="1">
      <c r="C565" s="90" t="s">
        <v>8328</v>
      </c>
      <c r="E565" s="105">
        <v>44923</v>
      </c>
    </row>
    <row r="566" spans="3:5" ht="20.25" customHeight="1">
      <c r="C566" s="91" t="s">
        <v>8329</v>
      </c>
      <c r="E566" s="105">
        <v>44923</v>
      </c>
    </row>
    <row r="567" spans="3:5" ht="20.25" customHeight="1">
      <c r="C567" s="91" t="s">
        <v>8330</v>
      </c>
      <c r="E567" s="105">
        <v>44910</v>
      </c>
    </row>
    <row r="568" spans="3:5" ht="20.25" customHeight="1">
      <c r="C568" s="91" t="s">
        <v>8331</v>
      </c>
      <c r="E568" s="105">
        <v>44910</v>
      </c>
    </row>
    <row r="569" spans="3:5" ht="20.25" customHeight="1">
      <c r="C569" s="91" t="s">
        <v>8332</v>
      </c>
      <c r="E569" s="103" t="s">
        <v>4357</v>
      </c>
    </row>
    <row r="570" spans="3:5" ht="20.25" customHeight="1">
      <c r="C570" s="91" t="s">
        <v>8333</v>
      </c>
      <c r="E570" s="105">
        <v>44923</v>
      </c>
    </row>
    <row r="571" spans="3:5" ht="20.25" customHeight="1">
      <c r="C571" s="91" t="s">
        <v>8334</v>
      </c>
      <c r="E571" s="105">
        <v>44910</v>
      </c>
    </row>
    <row r="572" spans="3:5" ht="20.25" customHeight="1">
      <c r="C572" s="91" t="s">
        <v>8335</v>
      </c>
      <c r="E572" s="105">
        <v>44923</v>
      </c>
    </row>
    <row r="573" spans="3:5" ht="20.25" customHeight="1">
      <c r="C573" s="91" t="s">
        <v>8336</v>
      </c>
      <c r="E573" s="105">
        <v>44910</v>
      </c>
    </row>
    <row r="574" spans="3:5" ht="20.25" customHeight="1">
      <c r="C574" s="91" t="s">
        <v>7835</v>
      </c>
      <c r="E574" s="105">
        <v>44910</v>
      </c>
    </row>
    <row r="575" spans="3:5" ht="20.25" customHeight="1">
      <c r="C575" s="91" t="s">
        <v>7837</v>
      </c>
      <c r="E575" s="105">
        <v>44869</v>
      </c>
    </row>
    <row r="576" spans="3:5" ht="20.25" customHeight="1">
      <c r="C576" s="91" t="s">
        <v>8337</v>
      </c>
      <c r="E576" s="105">
        <v>44869</v>
      </c>
    </row>
    <row r="577" spans="3:5" ht="20.25" customHeight="1">
      <c r="C577" s="91" t="s">
        <v>8338</v>
      </c>
      <c r="E577" s="105">
        <v>44876</v>
      </c>
    </row>
    <row r="578" spans="3:5" ht="20.25" customHeight="1">
      <c r="C578" s="90" t="s">
        <v>8339</v>
      </c>
      <c r="E578" s="103" t="s">
        <v>4357</v>
      </c>
    </row>
    <row r="579" spans="3:5" ht="20.25" customHeight="1">
      <c r="C579" s="91" t="s">
        <v>8340</v>
      </c>
      <c r="E579" s="105">
        <v>44869</v>
      </c>
    </row>
    <row r="580" spans="3:5" ht="20.25" customHeight="1">
      <c r="C580" s="91" t="s">
        <v>8341</v>
      </c>
      <c r="E580" s="103" t="s">
        <v>4357</v>
      </c>
    </row>
    <row r="581" spans="3:5" ht="20.25" customHeight="1">
      <c r="C581" s="91" t="s">
        <v>8342</v>
      </c>
      <c r="E581" s="103" t="s">
        <v>4357</v>
      </c>
    </row>
    <row r="582" spans="3:5" ht="20.25" customHeight="1">
      <c r="C582" s="91" t="s">
        <v>8343</v>
      </c>
      <c r="E582" s="103" t="s">
        <v>4357</v>
      </c>
    </row>
    <row r="583" spans="3:5" ht="20.25" customHeight="1">
      <c r="C583" s="91" t="s">
        <v>7839</v>
      </c>
      <c r="E583" s="103" t="s">
        <v>4357</v>
      </c>
    </row>
    <row r="584" spans="3:5" ht="20.25" customHeight="1">
      <c r="C584" s="91" t="s">
        <v>8344</v>
      </c>
      <c r="E584" s="103" t="s">
        <v>4357</v>
      </c>
    </row>
    <row r="585" spans="3:5" ht="20.25" customHeight="1">
      <c r="C585" s="91" t="s">
        <v>8345</v>
      </c>
      <c r="E585" s="103" t="s">
        <v>4357</v>
      </c>
    </row>
    <row r="586" spans="3:5" ht="20.25" customHeight="1">
      <c r="C586" s="91" t="s">
        <v>8346</v>
      </c>
      <c r="E586" s="103" t="s">
        <v>4357</v>
      </c>
    </row>
    <row r="587" spans="3:5" ht="20.25" customHeight="1">
      <c r="C587" s="91" t="s">
        <v>8347</v>
      </c>
      <c r="E587" s="103" t="s">
        <v>4357</v>
      </c>
    </row>
    <row r="588" spans="3:5" ht="20.25" customHeight="1">
      <c r="C588" s="91" t="s">
        <v>8348</v>
      </c>
      <c r="E588" s="103" t="s">
        <v>4357</v>
      </c>
    </row>
    <row r="589" spans="3:5" ht="20.25" customHeight="1">
      <c r="C589" s="91" t="s">
        <v>8349</v>
      </c>
      <c r="E589" s="103" t="s">
        <v>4357</v>
      </c>
    </row>
    <row r="590" spans="3:5" ht="20.25" customHeight="1">
      <c r="C590" s="91" t="s">
        <v>8350</v>
      </c>
      <c r="E590" s="103" t="s">
        <v>4357</v>
      </c>
    </row>
    <row r="591" spans="3:5" ht="20.25" customHeight="1">
      <c r="C591" s="91" t="s">
        <v>8351</v>
      </c>
      <c r="E591" s="103" t="s">
        <v>4357</v>
      </c>
    </row>
    <row r="592" spans="3:5" ht="20.25" customHeight="1">
      <c r="C592" s="91" t="s">
        <v>8352</v>
      </c>
      <c r="E592" s="103" t="s">
        <v>4357</v>
      </c>
    </row>
    <row r="593" spans="3:5" ht="20.25" customHeight="1">
      <c r="C593" s="91" t="s">
        <v>8353</v>
      </c>
      <c r="E593" s="105">
        <v>44910</v>
      </c>
    </row>
    <row r="594" spans="3:5" ht="20.25" customHeight="1">
      <c r="C594" s="91" t="s">
        <v>8354</v>
      </c>
      <c r="E594" s="103" t="s">
        <v>4357</v>
      </c>
    </row>
    <row r="595" spans="3:5" ht="20.25" customHeight="1">
      <c r="C595" s="91" t="s">
        <v>8355</v>
      </c>
      <c r="E595" s="105">
        <v>44910</v>
      </c>
    </row>
    <row r="596" spans="3:5" ht="20.25" customHeight="1">
      <c r="C596" s="91" t="s">
        <v>8356</v>
      </c>
      <c r="E596" s="103" t="s">
        <v>4357</v>
      </c>
    </row>
    <row r="597" spans="3:5" ht="20.25" customHeight="1">
      <c r="C597" s="91" t="s">
        <v>8357</v>
      </c>
      <c r="E597" s="105">
        <v>44910</v>
      </c>
    </row>
    <row r="598" spans="3:5" ht="20.25" customHeight="1">
      <c r="C598" s="91" t="s">
        <v>8358</v>
      </c>
      <c r="E598" s="103" t="s">
        <v>4357</v>
      </c>
    </row>
    <row r="599" spans="3:5" ht="20.25" customHeight="1">
      <c r="C599" s="95" t="s">
        <v>8359</v>
      </c>
      <c r="E599" s="103" t="s">
        <v>4357</v>
      </c>
    </row>
    <row r="600" spans="3:5" ht="20.25" customHeight="1">
      <c r="C600" s="91" t="s">
        <v>8360</v>
      </c>
      <c r="E600" s="103" t="s">
        <v>4357</v>
      </c>
    </row>
    <row r="601" spans="3:5" ht="20.25" customHeight="1">
      <c r="C601" s="91" t="s">
        <v>8361</v>
      </c>
      <c r="E601" s="103" t="s">
        <v>4357</v>
      </c>
    </row>
    <row r="602" spans="3:5" ht="20.25" customHeight="1">
      <c r="C602" s="91" t="s">
        <v>8362</v>
      </c>
      <c r="E602" s="108">
        <v>45065</v>
      </c>
    </row>
    <row r="603" spans="3:5" ht="20.25" customHeight="1">
      <c r="C603" s="91" t="s">
        <v>8363</v>
      </c>
      <c r="E603" s="108">
        <v>45148</v>
      </c>
    </row>
    <row r="604" spans="3:5" ht="20.25" customHeight="1">
      <c r="C604" s="91" t="s">
        <v>8364</v>
      </c>
      <c r="E604" s="105">
        <v>44910</v>
      </c>
    </row>
    <row r="605" spans="3:5" ht="20.25" customHeight="1">
      <c r="C605" s="91" t="s">
        <v>8365</v>
      </c>
      <c r="E605" s="119">
        <v>45040</v>
      </c>
    </row>
    <row r="606" spans="3:5" ht="20.25" customHeight="1">
      <c r="C606" s="91" t="s">
        <v>8366</v>
      </c>
      <c r="E606" s="103" t="s">
        <v>4357</v>
      </c>
    </row>
    <row r="607" spans="3:5" ht="20.25" customHeight="1">
      <c r="C607" s="91" t="s">
        <v>8367</v>
      </c>
      <c r="E607" s="108">
        <v>45065</v>
      </c>
    </row>
    <row r="608" spans="3:5" ht="20.25" customHeight="1">
      <c r="C608" s="91" t="s">
        <v>8368</v>
      </c>
      <c r="E608" s="103" t="s">
        <v>4357</v>
      </c>
    </row>
    <row r="609" spans="3:5" ht="20.25" customHeight="1">
      <c r="C609" s="91" t="s">
        <v>8369</v>
      </c>
      <c r="E609" s="119">
        <v>45040</v>
      </c>
    </row>
    <row r="610" spans="3:5" ht="20.25" customHeight="1">
      <c r="C610" s="91" t="s">
        <v>8370</v>
      </c>
      <c r="E610" s="105">
        <v>44923</v>
      </c>
    </row>
    <row r="611" spans="3:5" ht="20.25" customHeight="1">
      <c r="C611" s="91" t="s">
        <v>8371</v>
      </c>
      <c r="E611" s="108">
        <v>45065</v>
      </c>
    </row>
    <row r="612" spans="3:5" ht="20.25" customHeight="1">
      <c r="C612" s="91" t="s">
        <v>8372</v>
      </c>
      <c r="E612" s="103" t="s">
        <v>4357</v>
      </c>
    </row>
    <row r="613" spans="3:5" ht="20.25" customHeight="1">
      <c r="C613" s="91" t="s">
        <v>8373</v>
      </c>
      <c r="E613" s="103" t="s">
        <v>4357</v>
      </c>
    </row>
    <row r="614" spans="3:5" ht="20.25" customHeight="1">
      <c r="C614" s="91" t="s">
        <v>8374</v>
      </c>
      <c r="E614" s="105">
        <v>44910</v>
      </c>
    </row>
    <row r="615" spans="3:5" ht="20.25" customHeight="1">
      <c r="C615" s="91" t="s">
        <v>8375</v>
      </c>
      <c r="E615" s="105">
        <v>44923</v>
      </c>
    </row>
    <row r="616" spans="3:5" ht="20.25" customHeight="1">
      <c r="C616" s="91" t="s">
        <v>8376</v>
      </c>
      <c r="E616" s="105">
        <v>44910</v>
      </c>
    </row>
    <row r="617" spans="3:5" ht="20.25" customHeight="1">
      <c r="C617" s="90" t="s">
        <v>8377</v>
      </c>
      <c r="E617" s="105">
        <v>44869</v>
      </c>
    </row>
    <row r="618" spans="3:5" ht="20.25" customHeight="1">
      <c r="C618" s="91" t="s">
        <v>8378</v>
      </c>
      <c r="E618" s="105">
        <v>44910</v>
      </c>
    </row>
    <row r="619" spans="3:5" ht="20.25" customHeight="1">
      <c r="C619" s="91" t="s">
        <v>8379</v>
      </c>
      <c r="E619" s="103"/>
    </row>
    <row r="620" spans="3:5" ht="20.25" customHeight="1">
      <c r="C620" s="91" t="s">
        <v>8380</v>
      </c>
      <c r="E620" s="105">
        <v>44910</v>
      </c>
    </row>
    <row r="621" spans="3:5" ht="20.25" customHeight="1">
      <c r="C621" s="91" t="s">
        <v>7841</v>
      </c>
      <c r="E621" s="103" t="s">
        <v>4357</v>
      </c>
    </row>
    <row r="622" spans="3:5" ht="20.25" customHeight="1">
      <c r="C622" s="91" t="s">
        <v>8381</v>
      </c>
      <c r="E622" s="105">
        <v>44923</v>
      </c>
    </row>
    <row r="623" spans="3:5" ht="20.25" customHeight="1">
      <c r="C623" s="91" t="s">
        <v>8382</v>
      </c>
      <c r="E623" s="105">
        <v>44910</v>
      </c>
    </row>
    <row r="624" spans="3:5" ht="20.25" customHeight="1">
      <c r="C624" s="91" t="s">
        <v>8383</v>
      </c>
      <c r="E624" s="105">
        <v>44910</v>
      </c>
    </row>
    <row r="625" spans="3:5" ht="20.25" customHeight="1">
      <c r="C625" s="91" t="s">
        <v>8384</v>
      </c>
      <c r="E625" s="103"/>
    </row>
    <row r="626" spans="3:5" ht="20.25" customHeight="1">
      <c r="C626" s="91" t="s">
        <v>8385</v>
      </c>
      <c r="E626" s="112"/>
    </row>
    <row r="627" spans="3:5" ht="20.25" customHeight="1">
      <c r="C627" s="91" t="s">
        <v>8386</v>
      </c>
      <c r="E627" s="112"/>
    </row>
    <row r="628" spans="3:5" ht="20.25" customHeight="1">
      <c r="C628" s="91" t="s">
        <v>8387</v>
      </c>
      <c r="E628" s="112"/>
    </row>
    <row r="629" spans="3:5" ht="20.25" customHeight="1">
      <c r="C629" s="91" t="s">
        <v>8388</v>
      </c>
      <c r="E629" s="112"/>
    </row>
    <row r="630" spans="3:5" ht="20.25" customHeight="1">
      <c r="C630" s="91" t="s">
        <v>8389</v>
      </c>
      <c r="E630" s="112"/>
    </row>
    <row r="631" spans="3:5" ht="20.25" customHeight="1">
      <c r="C631" s="91" t="s">
        <v>8390</v>
      </c>
      <c r="E631" s="112"/>
    </row>
    <row r="632" spans="3:5" ht="20.25" customHeight="1">
      <c r="C632" s="91" t="s">
        <v>8391</v>
      </c>
      <c r="E632" s="112"/>
    </row>
    <row r="633" spans="3:5" ht="20.25" customHeight="1">
      <c r="C633" s="91" t="s">
        <v>8392</v>
      </c>
      <c r="E633" s="112"/>
    </row>
    <row r="634" spans="3:5" ht="20.25" customHeight="1">
      <c r="C634" s="91" t="s">
        <v>8393</v>
      </c>
      <c r="E634" s="112"/>
    </row>
    <row r="635" spans="3:5" ht="20.25" customHeight="1">
      <c r="C635" s="91" t="s">
        <v>8394</v>
      </c>
      <c r="E635" s="112"/>
    </row>
    <row r="636" spans="3:5" ht="20.25" customHeight="1">
      <c r="C636" s="95" t="s">
        <v>8395</v>
      </c>
      <c r="E636" s="112"/>
    </row>
    <row r="637" spans="3:5" ht="20.25" customHeight="1">
      <c r="C637" s="91" t="s">
        <v>8396</v>
      </c>
      <c r="E637" s="112"/>
    </row>
    <row r="638" spans="3:5" ht="20.25" customHeight="1">
      <c r="C638" s="91" t="s">
        <v>8397</v>
      </c>
      <c r="E638" s="112"/>
    </row>
    <row r="639" spans="3:5" ht="20.25" customHeight="1">
      <c r="C639" s="95" t="s">
        <v>8398</v>
      </c>
      <c r="E639" s="112"/>
    </row>
    <row r="640" spans="3:5" ht="20.25" customHeight="1">
      <c r="C640" s="91" t="s">
        <v>8399</v>
      </c>
      <c r="E640" s="112"/>
    </row>
    <row r="641" spans="3:5" ht="20.25" customHeight="1">
      <c r="C641" s="91" t="s">
        <v>8400</v>
      </c>
      <c r="E641" s="112"/>
    </row>
    <row r="642" spans="3:5" ht="20.25" customHeight="1">
      <c r="C642" s="91" t="s">
        <v>8401</v>
      </c>
      <c r="E642" s="112"/>
    </row>
    <row r="643" spans="3:5" ht="20.25" customHeight="1">
      <c r="C643" s="91" t="s">
        <v>8402</v>
      </c>
      <c r="E643" s="112"/>
    </row>
    <row r="644" spans="3:5" ht="20.25" customHeight="1">
      <c r="C644" s="95" t="s">
        <v>8403</v>
      </c>
      <c r="E644" s="112"/>
    </row>
    <row r="645" spans="3:5" ht="20.25" customHeight="1">
      <c r="C645" s="91" t="s">
        <v>8404</v>
      </c>
      <c r="E645" s="112"/>
    </row>
    <row r="646" spans="3:5" ht="20.25" customHeight="1">
      <c r="C646" s="91" t="s">
        <v>8405</v>
      </c>
      <c r="E646" s="112"/>
    </row>
    <row r="647" spans="3:5" ht="20.25" customHeight="1">
      <c r="C647" s="97" t="s">
        <v>7843</v>
      </c>
      <c r="E647" s="112"/>
    </row>
    <row r="648" spans="3:5" ht="20.25" customHeight="1">
      <c r="C648" s="95" t="s">
        <v>8406</v>
      </c>
      <c r="E648" s="103" t="s">
        <v>4357</v>
      </c>
    </row>
    <row r="649" spans="3:5" ht="20.25" customHeight="1">
      <c r="C649" s="91" t="s">
        <v>8407</v>
      </c>
      <c r="E649" s="103" t="s">
        <v>4357</v>
      </c>
    </row>
    <row r="650" spans="3:5" ht="20.25" customHeight="1">
      <c r="C650" s="91" t="s">
        <v>7845</v>
      </c>
      <c r="E650" s="103" t="s">
        <v>4357</v>
      </c>
    </row>
    <row r="651" spans="3:5" ht="20.25" customHeight="1">
      <c r="C651" s="91" t="s">
        <v>7847</v>
      </c>
      <c r="E651" s="112" t="s">
        <v>4357</v>
      </c>
    </row>
    <row r="652" spans="3:5" ht="20.25" customHeight="1">
      <c r="C652" s="91" t="s">
        <v>8408</v>
      </c>
      <c r="E652" s="112"/>
    </row>
    <row r="653" spans="3:5" ht="20.25" customHeight="1">
      <c r="C653" s="91" t="s">
        <v>7849</v>
      </c>
      <c r="E653" s="112"/>
    </row>
    <row r="654" spans="3:5" ht="20.25" customHeight="1">
      <c r="C654" s="91" t="s">
        <v>8409</v>
      </c>
      <c r="E654" s="112"/>
    </row>
    <row r="655" spans="3:5" ht="20.25" customHeight="1">
      <c r="C655" s="91" t="s">
        <v>8410</v>
      </c>
      <c r="E655" s="112"/>
    </row>
    <row r="656" spans="3:5" ht="20.25" customHeight="1">
      <c r="C656" s="91" t="s">
        <v>8411</v>
      </c>
      <c r="E656" s="112"/>
    </row>
    <row r="657" spans="3:5" ht="20.25" customHeight="1">
      <c r="C657" s="91" t="s">
        <v>8412</v>
      </c>
      <c r="E657" s="112"/>
    </row>
    <row r="658" spans="3:5" ht="20.25" customHeight="1">
      <c r="C658" s="91" t="s">
        <v>8413</v>
      </c>
      <c r="E658" s="112"/>
    </row>
    <row r="659" spans="3:5" ht="20.25" customHeight="1">
      <c r="C659" s="91" t="s">
        <v>8414</v>
      </c>
      <c r="E659" s="112"/>
    </row>
    <row r="660" spans="3:5" ht="20.25" customHeight="1">
      <c r="C660" s="91" t="s">
        <v>8415</v>
      </c>
      <c r="E660" s="112"/>
    </row>
    <row r="661" spans="3:5" ht="20.25" customHeight="1">
      <c r="C661" s="91" t="s">
        <v>8416</v>
      </c>
      <c r="E661" s="112"/>
    </row>
    <row r="662" spans="3:5" ht="20.25" customHeight="1">
      <c r="C662" s="91" t="s">
        <v>8417</v>
      </c>
      <c r="E662" s="112"/>
    </row>
    <row r="663" spans="3:5" ht="20.25" customHeight="1">
      <c r="C663" s="91" t="s">
        <v>8418</v>
      </c>
      <c r="E663" s="112"/>
    </row>
    <row r="664" spans="3:5" ht="20.25" customHeight="1">
      <c r="C664" s="91" t="s">
        <v>8419</v>
      </c>
      <c r="E664" s="112"/>
    </row>
    <row r="665" spans="3:5" ht="20.25" customHeight="1">
      <c r="C665" s="91" t="s">
        <v>7851</v>
      </c>
      <c r="E665" s="112"/>
    </row>
    <row r="666" spans="3:5" ht="20.25" customHeight="1">
      <c r="C666" s="91" t="s">
        <v>8420</v>
      </c>
      <c r="E666" s="112"/>
    </row>
    <row r="667" spans="3:5" ht="20.25" customHeight="1">
      <c r="C667" s="91" t="s">
        <v>8421</v>
      </c>
      <c r="E667" s="119">
        <v>45040</v>
      </c>
    </row>
    <row r="668" spans="3:5" ht="20.25" customHeight="1">
      <c r="C668" s="91" t="s">
        <v>8422</v>
      </c>
      <c r="E668" s="112"/>
    </row>
    <row r="669" spans="3:5" ht="20.25" customHeight="1">
      <c r="C669" s="91" t="s">
        <v>8423</v>
      </c>
      <c r="E669" s="112"/>
    </row>
    <row r="670" spans="3:5" ht="20.25" customHeight="1">
      <c r="C670" s="91" t="s">
        <v>8424</v>
      </c>
      <c r="E670" s="103"/>
    </row>
    <row r="671" spans="3:5" ht="20.25" customHeight="1">
      <c r="C671" s="91" t="s">
        <v>8425</v>
      </c>
      <c r="E671" s="112"/>
    </row>
    <row r="672" spans="3:5" ht="20.25" customHeight="1">
      <c r="C672" s="91" t="s">
        <v>8426</v>
      </c>
      <c r="E672" s="112"/>
    </row>
    <row r="673" spans="3:5" ht="20.25" customHeight="1">
      <c r="C673" s="91" t="s">
        <v>8427</v>
      </c>
      <c r="E673" s="105">
        <v>44922</v>
      </c>
    </row>
    <row r="674" spans="3:5" ht="20.25" customHeight="1">
      <c r="C674" s="91" t="s">
        <v>8428</v>
      </c>
      <c r="E674" s="112"/>
    </row>
    <row r="675" spans="3:5" ht="20.25" customHeight="1">
      <c r="C675" s="91" t="s">
        <v>8429</v>
      </c>
      <c r="E675" s="112"/>
    </row>
    <row r="676" spans="3:5" ht="20.25" customHeight="1">
      <c r="C676" s="91" t="s">
        <v>8430</v>
      </c>
      <c r="E676" s="112"/>
    </row>
    <row r="677" spans="3:5" ht="20.25" customHeight="1">
      <c r="C677" s="91" t="s">
        <v>8431</v>
      </c>
      <c r="E677" s="112"/>
    </row>
    <row r="678" spans="3:5" ht="20.25" customHeight="1">
      <c r="C678" s="91" t="s">
        <v>8432</v>
      </c>
      <c r="E678" s="112" t="s">
        <v>4357</v>
      </c>
    </row>
    <row r="679" spans="3:5" ht="20.25" customHeight="1">
      <c r="C679" s="91" t="s">
        <v>8433</v>
      </c>
      <c r="E679" s="112" t="s">
        <v>4357</v>
      </c>
    </row>
    <row r="680" spans="3:5" ht="20.25" customHeight="1">
      <c r="C680" s="91" t="s">
        <v>8434</v>
      </c>
      <c r="E680" s="112"/>
    </row>
    <row r="681" spans="3:5" ht="20.25" customHeight="1">
      <c r="C681" s="91" t="s">
        <v>8435</v>
      </c>
      <c r="E681" s="112" t="s">
        <v>4357</v>
      </c>
    </row>
    <row r="682" spans="3:5" ht="20.25" customHeight="1">
      <c r="C682" s="91" t="s">
        <v>8436</v>
      </c>
      <c r="E682" s="112"/>
    </row>
    <row r="683" spans="3:5" ht="20.25" customHeight="1">
      <c r="C683" s="91" t="s">
        <v>8437</v>
      </c>
      <c r="E683" s="112"/>
    </row>
    <row r="684" spans="3:5" ht="20.25" customHeight="1">
      <c r="C684" s="91" t="s">
        <v>8438</v>
      </c>
      <c r="E684" s="112"/>
    </row>
    <row r="685" spans="3:5" ht="20.25" customHeight="1">
      <c r="C685" s="91" t="s">
        <v>8439</v>
      </c>
      <c r="E685" s="103" t="s">
        <v>4357</v>
      </c>
    </row>
    <row r="686" spans="3:5" ht="20.25" customHeight="1">
      <c r="C686" s="91" t="s">
        <v>8440</v>
      </c>
      <c r="E686" s="119">
        <v>45040</v>
      </c>
    </row>
    <row r="687" spans="3:5" ht="20.25" customHeight="1">
      <c r="C687" s="91" t="s">
        <v>8441</v>
      </c>
      <c r="E687" s="112"/>
    </row>
    <row r="688" spans="3:5" ht="20.25" customHeight="1">
      <c r="C688" s="91" t="s">
        <v>8442</v>
      </c>
      <c r="E688" s="103" t="s">
        <v>4357</v>
      </c>
    </row>
    <row r="689" spans="3:5" ht="20.25" customHeight="1">
      <c r="C689" s="91" t="s">
        <v>8443</v>
      </c>
      <c r="E689" s="108">
        <v>45148</v>
      </c>
    </row>
    <row r="690" spans="3:5" ht="20.25" customHeight="1">
      <c r="C690" s="91" t="s">
        <v>8444</v>
      </c>
      <c r="E690" s="112"/>
    </row>
    <row r="691" spans="3:5" ht="20.25" customHeight="1">
      <c r="C691" s="91" t="s">
        <v>8445</v>
      </c>
      <c r="E691" s="108">
        <v>45049</v>
      </c>
    </row>
    <row r="692" spans="3:5" ht="20.25" customHeight="1">
      <c r="C692" s="91" t="s">
        <v>8446</v>
      </c>
      <c r="E692" s="103" t="s">
        <v>4357</v>
      </c>
    </row>
    <row r="693" spans="3:5" ht="20.25" customHeight="1">
      <c r="C693" s="91" t="s">
        <v>8447</v>
      </c>
      <c r="E693" s="112" t="s">
        <v>4357</v>
      </c>
    </row>
    <row r="694" spans="3:5" ht="20.25" customHeight="1">
      <c r="C694" s="91" t="s">
        <v>8448</v>
      </c>
      <c r="E694" s="112"/>
    </row>
    <row r="695" spans="3:5" ht="20.25" customHeight="1">
      <c r="C695" s="91" t="s">
        <v>8449</v>
      </c>
      <c r="E695" s="112"/>
    </row>
    <row r="696" spans="3:5" ht="20.25" customHeight="1">
      <c r="C696" s="91" t="s">
        <v>8450</v>
      </c>
      <c r="E696" s="108">
        <v>45049</v>
      </c>
    </row>
    <row r="697" spans="3:5" ht="20.25" customHeight="1">
      <c r="C697" s="91" t="s">
        <v>8451</v>
      </c>
      <c r="E697" s="105">
        <v>45058</v>
      </c>
    </row>
    <row r="698" spans="3:5" ht="20.25" customHeight="1">
      <c r="C698" s="91" t="s">
        <v>8452</v>
      </c>
      <c r="E698" s="112"/>
    </row>
    <row r="699" spans="3:5" ht="20.25" customHeight="1">
      <c r="C699" s="91" t="s">
        <v>8453</v>
      </c>
      <c r="E699" s="119">
        <v>45040</v>
      </c>
    </row>
    <row r="700" spans="3:5" ht="20.25" customHeight="1">
      <c r="C700" s="91" t="s">
        <v>8454</v>
      </c>
      <c r="E700" s="112"/>
    </row>
    <row r="701" spans="3:5" ht="20.25" customHeight="1">
      <c r="C701" s="91" t="s">
        <v>8455</v>
      </c>
      <c r="E701" s="103" t="s">
        <v>4357</v>
      </c>
    </row>
    <row r="702" spans="3:5" ht="20.25" customHeight="1">
      <c r="C702" s="91" t="s">
        <v>8456</v>
      </c>
      <c r="E702" s="112"/>
    </row>
    <row r="703" spans="3:5" ht="20.25" customHeight="1">
      <c r="C703" s="91" t="s">
        <v>8457</v>
      </c>
      <c r="E703" s="112"/>
    </row>
    <row r="704" spans="3:5" ht="20.25" customHeight="1">
      <c r="C704" s="91" t="s">
        <v>8458</v>
      </c>
      <c r="E704" s="112"/>
    </row>
    <row r="705" spans="3:5" ht="20.25" customHeight="1">
      <c r="C705" s="91" t="s">
        <v>8459</v>
      </c>
      <c r="E705" s="103" t="s">
        <v>4357</v>
      </c>
    </row>
    <row r="706" spans="3:5" ht="20.25" customHeight="1">
      <c r="C706" s="91" t="s">
        <v>8460</v>
      </c>
      <c r="E706" s="112"/>
    </row>
    <row r="707" spans="3:5" ht="20.25" customHeight="1">
      <c r="C707" s="91" t="s">
        <v>8461</v>
      </c>
      <c r="E707" s="112"/>
    </row>
    <row r="708" spans="3:5" ht="20.25" customHeight="1">
      <c r="C708" s="91" t="s">
        <v>8462</v>
      </c>
      <c r="E708" s="112"/>
    </row>
    <row r="709" spans="3:5" ht="20.25" customHeight="1">
      <c r="C709" s="91" t="s">
        <v>8463</v>
      </c>
      <c r="E709" s="103" t="s">
        <v>4357</v>
      </c>
    </row>
    <row r="710" spans="3:5" ht="20.25" customHeight="1">
      <c r="C710" s="91" t="s">
        <v>8464</v>
      </c>
      <c r="E710" s="103" t="s">
        <v>4357</v>
      </c>
    </row>
    <row r="711" spans="3:5" ht="20.25" customHeight="1">
      <c r="C711" s="91" t="s">
        <v>8465</v>
      </c>
      <c r="E711" s="112"/>
    </row>
    <row r="712" spans="3:5" ht="20.25" customHeight="1">
      <c r="C712" s="91" t="s">
        <v>8466</v>
      </c>
      <c r="E712" s="103" t="s">
        <v>4357</v>
      </c>
    </row>
    <row r="713" spans="3:5" ht="20.25" customHeight="1">
      <c r="C713" s="91" t="s">
        <v>8467</v>
      </c>
      <c r="E713" s="112"/>
    </row>
    <row r="714" spans="3:5" ht="20.25" customHeight="1">
      <c r="C714" s="91" t="s">
        <v>8468</v>
      </c>
      <c r="E714" s="112"/>
    </row>
    <row r="715" spans="3:5" ht="20.25" customHeight="1">
      <c r="C715" s="91" t="s">
        <v>8469</v>
      </c>
      <c r="E715" s="103" t="s">
        <v>4357</v>
      </c>
    </row>
    <row r="716" spans="3:5" ht="20.25" customHeight="1">
      <c r="C716" s="91" t="s">
        <v>8470</v>
      </c>
      <c r="E716" s="119">
        <v>45040</v>
      </c>
    </row>
    <row r="717" spans="3:5" ht="20.25" customHeight="1">
      <c r="C717" s="91" t="s">
        <v>8471</v>
      </c>
      <c r="E717" s="112"/>
    </row>
    <row r="718" spans="3:5" ht="20.25" customHeight="1">
      <c r="C718" s="91" t="s">
        <v>7853</v>
      </c>
      <c r="E718" s="103" t="s">
        <v>4357</v>
      </c>
    </row>
    <row r="719" spans="3:5" ht="20.25" customHeight="1">
      <c r="C719" s="91" t="s">
        <v>8472</v>
      </c>
      <c r="E719" s="105">
        <v>44923</v>
      </c>
    </row>
    <row r="720" spans="3:5" ht="20.25" customHeight="1">
      <c r="C720" s="91" t="s">
        <v>8473</v>
      </c>
      <c r="E720" s="112"/>
    </row>
    <row r="721" spans="3:5" ht="20.25" customHeight="1">
      <c r="C721" s="91" t="s">
        <v>8474</v>
      </c>
      <c r="E721" s="105">
        <v>44877</v>
      </c>
    </row>
    <row r="722" spans="3:5" ht="20.25" customHeight="1">
      <c r="C722" s="91" t="s">
        <v>8475</v>
      </c>
      <c r="E722" s="112"/>
    </row>
    <row r="723" spans="3:5" ht="20.25" customHeight="1">
      <c r="C723" s="91" t="s">
        <v>8476</v>
      </c>
      <c r="E723" s="112"/>
    </row>
    <row r="724" spans="3:5" ht="20.25" customHeight="1">
      <c r="C724" s="91" t="s">
        <v>8477</v>
      </c>
      <c r="E724" s="119">
        <v>45040</v>
      </c>
    </row>
    <row r="725" spans="3:5" ht="20.25" customHeight="1">
      <c r="C725" s="91" t="s">
        <v>8478</v>
      </c>
      <c r="E725" s="103" t="s">
        <v>4357</v>
      </c>
    </row>
    <row r="726" spans="3:5" ht="20.25" customHeight="1">
      <c r="C726" s="93" t="s">
        <v>8479</v>
      </c>
      <c r="E726" s="112"/>
    </row>
    <row r="727" spans="3:5" ht="20.25" customHeight="1">
      <c r="C727" s="91" t="s">
        <v>7855</v>
      </c>
      <c r="E727" s="112"/>
    </row>
    <row r="728" spans="3:5" ht="20.25" customHeight="1">
      <c r="C728" s="91" t="s">
        <v>8480</v>
      </c>
      <c r="E728" s="112"/>
    </row>
    <row r="729" spans="3:5" ht="20.25" customHeight="1">
      <c r="C729" s="91" t="s">
        <v>8481</v>
      </c>
      <c r="E729" s="112"/>
    </row>
    <row r="730" spans="3:5" ht="20.25" customHeight="1">
      <c r="C730" s="91" t="s">
        <v>7857</v>
      </c>
      <c r="E730" s="112"/>
    </row>
    <row r="731" spans="3:5" ht="20.25" customHeight="1">
      <c r="C731" s="91" t="s">
        <v>8482</v>
      </c>
      <c r="E731" s="112"/>
    </row>
    <row r="732" spans="3:5" ht="20.25" customHeight="1">
      <c r="C732" s="91" t="s">
        <v>8483</v>
      </c>
      <c r="E732" s="112"/>
    </row>
    <row r="733" spans="3:5" ht="20.25" customHeight="1">
      <c r="C733" s="97" t="s">
        <v>7859</v>
      </c>
      <c r="E733" s="112"/>
    </row>
    <row r="734" spans="3:5" ht="20.25" customHeight="1">
      <c r="C734" s="91" t="s">
        <v>8484</v>
      </c>
      <c r="E734" s="112"/>
    </row>
    <row r="735" spans="3:5" ht="20.25" customHeight="1">
      <c r="C735" s="91" t="s">
        <v>8485</v>
      </c>
      <c r="E735" s="112"/>
    </row>
    <row r="736" spans="3:5" ht="20.25" customHeight="1">
      <c r="C736" s="91" t="s">
        <v>8486</v>
      </c>
      <c r="E736" s="108">
        <v>45049</v>
      </c>
    </row>
    <row r="737" spans="3:5" ht="20.25" customHeight="1">
      <c r="C737" s="91" t="s">
        <v>8487</v>
      </c>
      <c r="E737" s="119">
        <v>45040</v>
      </c>
    </row>
    <row r="738" spans="3:5" ht="20.25" customHeight="1">
      <c r="C738" s="91" t="s">
        <v>8488</v>
      </c>
      <c r="E738" s="112"/>
    </row>
    <row r="739" spans="3:5" ht="20.25" customHeight="1">
      <c r="C739" s="91" t="s">
        <v>8489</v>
      </c>
      <c r="E739" s="112"/>
    </row>
    <row r="740" spans="3:5" ht="20.25" customHeight="1">
      <c r="C740" s="94" t="s">
        <v>8490</v>
      </c>
      <c r="E740" s="103" t="s">
        <v>4357</v>
      </c>
    </row>
    <row r="741" spans="3:5" ht="20.25" customHeight="1">
      <c r="C741" s="91" t="s">
        <v>8491</v>
      </c>
      <c r="E741" s="112"/>
    </row>
    <row r="742" spans="3:5" ht="20.25" customHeight="1">
      <c r="C742" s="91" t="s">
        <v>8492</v>
      </c>
      <c r="E742" s="112"/>
    </row>
    <row r="743" spans="3:5" ht="20.25" customHeight="1">
      <c r="C743" s="91" t="s">
        <v>8493</v>
      </c>
      <c r="E743" s="112"/>
    </row>
    <row r="744" spans="3:5" ht="20.25" customHeight="1">
      <c r="C744" s="91" t="s">
        <v>8494</v>
      </c>
      <c r="E744" s="112"/>
    </row>
    <row r="745" spans="3:5" ht="20.25" customHeight="1">
      <c r="C745" s="91" t="s">
        <v>8495</v>
      </c>
      <c r="E745" s="112"/>
    </row>
    <row r="746" spans="3:5" ht="20.25" customHeight="1">
      <c r="C746" s="91" t="s">
        <v>8496</v>
      </c>
      <c r="E746" s="112"/>
    </row>
    <row r="747" spans="3:5" ht="20.25" customHeight="1">
      <c r="C747" s="91" t="s">
        <v>8497</v>
      </c>
      <c r="E747" s="103" t="s">
        <v>4357</v>
      </c>
    </row>
    <row r="748" spans="3:5" ht="20.25" customHeight="1">
      <c r="C748" s="91" t="s">
        <v>8498</v>
      </c>
      <c r="E748" s="108">
        <v>45105</v>
      </c>
    </row>
    <row r="749" spans="3:5" ht="20.25" customHeight="1">
      <c r="C749" s="91" t="s">
        <v>8499</v>
      </c>
      <c r="E749" s="119">
        <v>45040</v>
      </c>
    </row>
    <row r="750" spans="3:5" ht="20.25" customHeight="1">
      <c r="C750" s="91" t="s">
        <v>8500</v>
      </c>
      <c r="E750" s="112"/>
    </row>
    <row r="751" spans="3:5" ht="20.25" customHeight="1">
      <c r="C751" s="91" t="s">
        <v>8501</v>
      </c>
      <c r="E751" s="103" t="s">
        <v>4357</v>
      </c>
    </row>
    <row r="752" spans="3:5" ht="20.25" customHeight="1">
      <c r="C752" s="91" t="s">
        <v>8502</v>
      </c>
      <c r="E752" s="103" t="s">
        <v>4357</v>
      </c>
    </row>
    <row r="753" spans="3:5" ht="20.25" customHeight="1">
      <c r="C753" s="91" t="s">
        <v>8503</v>
      </c>
      <c r="E753" s="112"/>
    </row>
    <row r="754" spans="3:5" ht="20.25" customHeight="1">
      <c r="C754" s="91" t="s">
        <v>8504</v>
      </c>
      <c r="E754" s="112"/>
    </row>
    <row r="755" spans="3:5" ht="20.25" customHeight="1">
      <c r="C755" s="91" t="s">
        <v>8505</v>
      </c>
      <c r="E755" s="112"/>
    </row>
    <row r="756" spans="3:5" ht="20.25" customHeight="1">
      <c r="C756" s="91" t="s">
        <v>8506</v>
      </c>
      <c r="E756" s="103" t="s">
        <v>4357</v>
      </c>
    </row>
    <row r="757" spans="3:5" ht="20.25" customHeight="1">
      <c r="C757" s="91" t="s">
        <v>8507</v>
      </c>
      <c r="E757" s="112"/>
    </row>
    <row r="758" spans="3:5" ht="20.25" customHeight="1">
      <c r="C758" s="91" t="s">
        <v>8508</v>
      </c>
      <c r="E758" s="105">
        <v>44910</v>
      </c>
    </row>
    <row r="759" spans="3:5" ht="20.25" customHeight="1">
      <c r="C759" s="91" t="s">
        <v>8509</v>
      </c>
      <c r="E759" s="112"/>
    </row>
    <row r="760" spans="3:5" ht="20.25" customHeight="1">
      <c r="C760" s="91" t="s">
        <v>8510</v>
      </c>
      <c r="E760" s="103" t="s">
        <v>4357</v>
      </c>
    </row>
    <row r="761" spans="3:5" ht="20.25" customHeight="1">
      <c r="C761" s="91" t="s">
        <v>8511</v>
      </c>
      <c r="E761" s="112"/>
    </row>
    <row r="762" spans="3:5" ht="20.25" customHeight="1">
      <c r="C762" s="91" t="s">
        <v>8512</v>
      </c>
      <c r="E762" s="112"/>
    </row>
    <row r="763" spans="3:5" ht="20.25" customHeight="1">
      <c r="C763" s="91" t="s">
        <v>8513</v>
      </c>
      <c r="E763" s="112"/>
    </row>
    <row r="764" spans="3:5" ht="20.25" customHeight="1">
      <c r="C764" s="91" t="s">
        <v>8514</v>
      </c>
      <c r="E764" s="112"/>
    </row>
    <row r="765" spans="3:5" ht="20.25" customHeight="1">
      <c r="C765" s="91" t="s">
        <v>8515</v>
      </c>
      <c r="E765" s="119">
        <v>45040</v>
      </c>
    </row>
    <row r="766" spans="3:5" ht="20.25" customHeight="1">
      <c r="C766" s="91" t="s">
        <v>8516</v>
      </c>
      <c r="E766" s="119">
        <v>45040</v>
      </c>
    </row>
    <row r="767" spans="3:5" ht="20.25" customHeight="1">
      <c r="C767" s="91" t="s">
        <v>8517</v>
      </c>
      <c r="E767" s="112"/>
    </row>
    <row r="768" spans="3:5" ht="20.25" customHeight="1">
      <c r="C768" s="91" t="s">
        <v>8518</v>
      </c>
      <c r="E768" s="112"/>
    </row>
    <row r="769" spans="3:5" ht="20.25" customHeight="1">
      <c r="C769" s="91" t="s">
        <v>8519</v>
      </c>
      <c r="E769" s="119">
        <v>45040</v>
      </c>
    </row>
    <row r="770" spans="3:5" ht="20.25" customHeight="1">
      <c r="C770" s="91" t="s">
        <v>8520</v>
      </c>
      <c r="E770" s="105">
        <v>44890</v>
      </c>
    </row>
    <row r="771" spans="3:5" ht="20.25" customHeight="1">
      <c r="C771" s="91" t="s">
        <v>8521</v>
      </c>
      <c r="E771" s="112"/>
    </row>
    <row r="772" spans="3:5" ht="20.25" customHeight="1">
      <c r="C772" s="91" t="s">
        <v>8522</v>
      </c>
      <c r="E772" s="119">
        <v>45040</v>
      </c>
    </row>
    <row r="773" spans="3:5" ht="20.25" customHeight="1">
      <c r="C773" s="91" t="s">
        <v>8523</v>
      </c>
      <c r="E773" s="109"/>
    </row>
    <row r="774" spans="3:5" ht="20.25" customHeight="1">
      <c r="C774" s="91" t="s">
        <v>8524</v>
      </c>
      <c r="E774" s="112"/>
    </row>
    <row r="775" spans="3:5" ht="20.25" customHeight="1">
      <c r="C775" s="91" t="s">
        <v>8525</v>
      </c>
      <c r="E775" s="119">
        <v>45040</v>
      </c>
    </row>
    <row r="776" spans="3:5" ht="20.25" customHeight="1">
      <c r="C776" s="91" t="s">
        <v>8526</v>
      </c>
      <c r="E776" s="112"/>
    </row>
    <row r="777" spans="3:5" ht="20.25" customHeight="1">
      <c r="C777" s="91" t="s">
        <v>8527</v>
      </c>
      <c r="E777" s="112"/>
    </row>
    <row r="778" spans="3:5" ht="20.25" customHeight="1">
      <c r="C778" s="91" t="s">
        <v>8528</v>
      </c>
      <c r="E778" s="119">
        <v>45040</v>
      </c>
    </row>
    <row r="779" spans="3:5" ht="20.25" customHeight="1">
      <c r="C779" s="91" t="s">
        <v>8529</v>
      </c>
      <c r="E779" s="105">
        <v>44922</v>
      </c>
    </row>
    <row r="780" spans="3:5" ht="20.25" customHeight="1">
      <c r="C780" s="91" t="s">
        <v>8530</v>
      </c>
      <c r="E780" s="112"/>
    </row>
    <row r="781" spans="3:5" ht="20.25" customHeight="1">
      <c r="C781" s="91" t="s">
        <v>8531</v>
      </c>
      <c r="E781" s="112"/>
    </row>
    <row r="782" spans="3:5" ht="20.25" customHeight="1">
      <c r="C782" s="91" t="s">
        <v>8532</v>
      </c>
      <c r="E782" s="103" t="s">
        <v>4357</v>
      </c>
    </row>
    <row r="783" spans="3:5" ht="20.25" customHeight="1">
      <c r="C783" s="91" t="s">
        <v>8533</v>
      </c>
      <c r="E783" s="105">
        <v>45056</v>
      </c>
    </row>
    <row r="784" spans="3:5" ht="20.25" customHeight="1">
      <c r="C784" s="91" t="s">
        <v>7861</v>
      </c>
      <c r="E784" s="112"/>
    </row>
    <row r="785" spans="3:5" ht="20.25" customHeight="1">
      <c r="C785" s="91" t="s">
        <v>7863</v>
      </c>
      <c r="E785" s="103" t="s">
        <v>4357</v>
      </c>
    </row>
    <row r="786" spans="3:5" ht="20.25" customHeight="1">
      <c r="C786" s="91" t="s">
        <v>8534</v>
      </c>
      <c r="E786" s="112" t="s">
        <v>4357</v>
      </c>
    </row>
    <row r="787" spans="3:5" ht="20.25" customHeight="1">
      <c r="C787" s="91" t="s">
        <v>8535</v>
      </c>
      <c r="E787" s="103" t="s">
        <v>4357</v>
      </c>
    </row>
    <row r="788" spans="3:5" ht="20.25" customHeight="1">
      <c r="C788" s="91" t="s">
        <v>8536</v>
      </c>
      <c r="E788" s="112"/>
    </row>
    <row r="789" spans="3:5" ht="20.25" customHeight="1">
      <c r="C789" s="91" t="s">
        <v>8537</v>
      </c>
      <c r="E789" s="112"/>
    </row>
    <row r="790" spans="3:5" ht="20.25" customHeight="1">
      <c r="C790" s="91" t="s">
        <v>8538</v>
      </c>
      <c r="E790" s="112"/>
    </row>
    <row r="791" spans="3:5" ht="20.25" customHeight="1">
      <c r="C791" s="91" t="s">
        <v>8539</v>
      </c>
      <c r="E791" s="112"/>
    </row>
    <row r="792" spans="3:5" ht="20.25" customHeight="1">
      <c r="C792" s="91" t="s">
        <v>8540</v>
      </c>
      <c r="E792" s="112"/>
    </row>
    <row r="793" spans="3:5" ht="20.25" customHeight="1">
      <c r="C793" s="91" t="s">
        <v>8541</v>
      </c>
      <c r="E793" s="112"/>
    </row>
    <row r="794" spans="3:5" ht="20.25" customHeight="1">
      <c r="C794" s="91" t="s">
        <v>8542</v>
      </c>
      <c r="E794" s="112"/>
    </row>
    <row r="795" spans="3:5" ht="20.25" customHeight="1">
      <c r="C795" s="91" t="s">
        <v>8543</v>
      </c>
      <c r="E795" s="112"/>
    </row>
    <row r="796" spans="3:5" ht="20.25" customHeight="1">
      <c r="C796" s="91" t="s">
        <v>8544</v>
      </c>
      <c r="E796" s="112"/>
    </row>
    <row r="797" spans="3:5" ht="20.25" customHeight="1">
      <c r="C797" s="91" t="s">
        <v>8545</v>
      </c>
      <c r="E797" s="112"/>
    </row>
    <row r="798" spans="3:5" ht="20.25" customHeight="1">
      <c r="C798" s="91" t="s">
        <v>8546</v>
      </c>
      <c r="E798" s="103" t="s">
        <v>4357</v>
      </c>
    </row>
    <row r="799" spans="3:5" ht="20.25" customHeight="1">
      <c r="C799" s="91" t="s">
        <v>8547</v>
      </c>
      <c r="E799" s="103" t="s">
        <v>4357</v>
      </c>
    </row>
    <row r="800" spans="3:5" ht="20.25" customHeight="1">
      <c r="C800" s="91" t="s">
        <v>8548</v>
      </c>
      <c r="E800" s="103" t="s">
        <v>4357</v>
      </c>
    </row>
    <row r="801" spans="3:5" ht="20.25" customHeight="1">
      <c r="C801" s="91" t="s">
        <v>8549</v>
      </c>
      <c r="E801" s="113"/>
    </row>
    <row r="802" spans="3:5" ht="20.25" customHeight="1">
      <c r="C802" s="91" t="s">
        <v>8550</v>
      </c>
      <c r="E802" s="112"/>
    </row>
    <row r="803" spans="3:5" ht="20.25" customHeight="1">
      <c r="C803" s="91" t="s">
        <v>8551</v>
      </c>
      <c r="E803" s="112"/>
    </row>
    <row r="804" spans="3:5" ht="20.25" customHeight="1">
      <c r="C804" s="91" t="s">
        <v>8552</v>
      </c>
      <c r="E804" s="112"/>
    </row>
    <row r="805" spans="3:5" ht="20.25" customHeight="1">
      <c r="C805" s="91" t="s">
        <v>8553</v>
      </c>
      <c r="E805" s="112"/>
    </row>
    <row r="806" spans="3:5" ht="20.25" customHeight="1">
      <c r="C806" s="92" t="s">
        <v>8554</v>
      </c>
      <c r="E806" s="112"/>
    </row>
    <row r="807" spans="3:5" ht="20.25" customHeight="1">
      <c r="C807" s="92" t="s">
        <v>8555</v>
      </c>
      <c r="E807" s="112"/>
    </row>
    <row r="808" spans="3:5" ht="20.25" customHeight="1">
      <c r="C808" s="91" t="s">
        <v>8556</v>
      </c>
      <c r="E808" s="112"/>
    </row>
    <row r="809" spans="3:5" ht="20.25" customHeight="1">
      <c r="C809" s="92" t="s">
        <v>8557</v>
      </c>
      <c r="E809" s="112"/>
    </row>
    <row r="810" spans="3:5" ht="20.25" customHeight="1">
      <c r="C810" s="92" t="s">
        <v>8558</v>
      </c>
      <c r="E810" s="112"/>
    </row>
    <row r="811" spans="3:5" ht="20.25" customHeight="1">
      <c r="C811" s="92" t="s">
        <v>8559</v>
      </c>
      <c r="E811" s="112"/>
    </row>
    <row r="812" spans="3:5" ht="20.25" customHeight="1">
      <c r="C812" s="92" t="s">
        <v>8560</v>
      </c>
      <c r="E812" s="112"/>
    </row>
    <row r="813" spans="3:5" ht="20.25" customHeight="1">
      <c r="C813" s="92" t="s">
        <v>8561</v>
      </c>
      <c r="E813" s="112"/>
    </row>
    <row r="814" spans="3:5" ht="20.25" customHeight="1">
      <c r="C814" s="92" t="s">
        <v>8562</v>
      </c>
      <c r="E814" s="112"/>
    </row>
    <row r="815" spans="3:5" ht="20.25" customHeight="1">
      <c r="C815" s="92" t="s">
        <v>8563</v>
      </c>
      <c r="E815" s="112"/>
    </row>
    <row r="816" spans="3:5" ht="20.25" customHeight="1">
      <c r="C816" s="92" t="s">
        <v>8564</v>
      </c>
      <c r="E816" s="112"/>
    </row>
    <row r="817" spans="3:5" ht="20.25" customHeight="1">
      <c r="C817" s="92" t="s">
        <v>8565</v>
      </c>
      <c r="E817" s="112"/>
    </row>
    <row r="818" spans="3:5" ht="20.25" customHeight="1">
      <c r="C818" s="92" t="s">
        <v>8566</v>
      </c>
      <c r="E818" s="112"/>
    </row>
    <row r="819" spans="3:5" ht="20.25" customHeight="1">
      <c r="C819" s="92" t="s">
        <v>8567</v>
      </c>
      <c r="E819" s="112"/>
    </row>
    <row r="820" spans="3:5" ht="20.25" customHeight="1">
      <c r="C820" s="92" t="s">
        <v>8568</v>
      </c>
      <c r="E820" s="112"/>
    </row>
    <row r="821" spans="3:5" ht="20.25" customHeight="1">
      <c r="C821" s="92" t="s">
        <v>8569</v>
      </c>
      <c r="E821" s="112"/>
    </row>
    <row r="822" spans="3:5" ht="20.25" customHeight="1">
      <c r="C822" s="92" t="s">
        <v>8570</v>
      </c>
      <c r="E822" s="112"/>
    </row>
    <row r="823" spans="3:5" ht="20.25" customHeight="1">
      <c r="C823" s="92" t="s">
        <v>8571</v>
      </c>
      <c r="E823" s="112"/>
    </row>
    <row r="824" spans="3:5" ht="20.25" customHeight="1">
      <c r="C824" s="92" t="s">
        <v>8572</v>
      </c>
      <c r="E824" s="112"/>
    </row>
    <row r="825" spans="3:5" ht="20.25" customHeight="1">
      <c r="C825" s="92" t="s">
        <v>8573</v>
      </c>
      <c r="E825" s="112"/>
    </row>
    <row r="826" spans="3:5" ht="20.25" customHeight="1">
      <c r="C826" s="92" t="s">
        <v>8574</v>
      </c>
      <c r="E826" s="112"/>
    </row>
    <row r="827" spans="3:5" ht="20.25" customHeight="1">
      <c r="C827" s="92" t="s">
        <v>8575</v>
      </c>
      <c r="E827" s="112"/>
    </row>
    <row r="828" spans="3:5" ht="20.25" customHeight="1">
      <c r="C828" s="92" t="s">
        <v>8576</v>
      </c>
      <c r="E828" s="112"/>
    </row>
    <row r="829" spans="3:5" ht="20.25" customHeight="1">
      <c r="C829" s="92" t="s">
        <v>8577</v>
      </c>
      <c r="E829" s="112"/>
    </row>
    <row r="830" spans="3:5" ht="20.25" customHeight="1">
      <c r="C830" s="92" t="s">
        <v>8578</v>
      </c>
      <c r="E830" s="112"/>
    </row>
    <row r="831" spans="3:5" ht="20.25" customHeight="1">
      <c r="C831" s="92" t="s">
        <v>8579</v>
      </c>
      <c r="E831" s="112"/>
    </row>
    <row r="832" spans="3:5" ht="20.25" customHeight="1">
      <c r="C832" s="92" t="s">
        <v>8580</v>
      </c>
      <c r="E832" s="112"/>
    </row>
    <row r="833" spans="3:5" ht="20.25" customHeight="1">
      <c r="C833" s="92" t="s">
        <v>8581</v>
      </c>
      <c r="E833" s="112"/>
    </row>
    <row r="834" spans="3:5" ht="20.25" customHeight="1">
      <c r="C834" s="92" t="s">
        <v>8582</v>
      </c>
      <c r="E834" s="112"/>
    </row>
    <row r="835" spans="3:5" ht="20.25" customHeight="1">
      <c r="C835" s="92" t="s">
        <v>8583</v>
      </c>
      <c r="E835" s="103" t="s">
        <v>4357</v>
      </c>
    </row>
    <row r="836" spans="3:5" ht="20.25" customHeight="1">
      <c r="C836" s="92" t="s">
        <v>8584</v>
      </c>
      <c r="E836" s="112"/>
    </row>
    <row r="837" spans="3:5" ht="20.25" customHeight="1">
      <c r="C837" s="92" t="s">
        <v>8585</v>
      </c>
      <c r="E837" s="112"/>
    </row>
    <row r="838" spans="3:5" ht="20.25" customHeight="1">
      <c r="C838" s="92" t="s">
        <v>7865</v>
      </c>
      <c r="E838" s="112"/>
    </row>
    <row r="839" spans="3:5" ht="20.25" customHeight="1">
      <c r="C839" s="92" t="s">
        <v>8586</v>
      </c>
      <c r="E839" s="112"/>
    </row>
    <row r="840" spans="3:5" ht="20.25" customHeight="1">
      <c r="C840" s="92" t="s">
        <v>8587</v>
      </c>
      <c r="E840" s="108">
        <v>45065</v>
      </c>
    </row>
    <row r="841" spans="3:5" ht="20.25" customHeight="1">
      <c r="C841" s="92" t="s">
        <v>8588</v>
      </c>
      <c r="E841" s="103" t="s">
        <v>4357</v>
      </c>
    </row>
    <row r="842" spans="3:5" ht="20.25" customHeight="1">
      <c r="C842" s="92" t="s">
        <v>8589</v>
      </c>
      <c r="E842" s="108">
        <v>45148</v>
      </c>
    </row>
    <row r="843" spans="3:5" ht="20.25" customHeight="1">
      <c r="C843" s="92" t="s">
        <v>8590</v>
      </c>
      <c r="E843" s="103" t="s">
        <v>4357</v>
      </c>
    </row>
    <row r="844" spans="3:5" ht="20.25" customHeight="1">
      <c r="C844" s="92" t="s">
        <v>7867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25:C34">
    <cfRule type="duplicateValues" dxfId="32" priority="3051"/>
  </conditionalFormatting>
  <conditionalFormatting sqref="C23:C24">
    <cfRule type="duplicateValues" dxfId="31" priority="1"/>
    <cfRule type="duplicateValues" dxfId="30" priority="2"/>
  </conditionalFormatting>
  <conditionalFormatting sqref="C23:C24">
    <cfRule type="duplicateValues" dxfId="29" priority="4"/>
  </conditionalFormatting>
  <conditionalFormatting sqref="C23:C24">
    <cfRule type="duplicateValues" dxfId="28" priority="3"/>
  </conditionalFormatting>
  <dataValidations disablePrompts="1"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4600</v>
      </c>
      <c r="H5" s="242" t="s">
        <v>6627</v>
      </c>
      <c r="I5" s="242" t="s">
        <v>6629</v>
      </c>
      <c r="J5" s="255" t="s">
        <v>4607</v>
      </c>
    </row>
    <row r="6" spans="6:10" ht="24.75" customHeight="1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>
      <c r="F9" s="241" t="s">
        <v>4431</v>
      </c>
      <c r="G9" s="241" t="s">
        <v>4621</v>
      </c>
      <c r="H9" s="242" t="s">
        <v>6675</v>
      </c>
      <c r="I9" s="242" t="s">
        <v>6676</v>
      </c>
      <c r="J9" s="261" t="s">
        <v>4627</v>
      </c>
    </row>
    <row r="10" spans="6:10" ht="24.75" customHeight="1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>
      <c r="F12" s="241" t="s">
        <v>4431</v>
      </c>
      <c r="G12" s="241" t="s">
        <v>4933</v>
      </c>
      <c r="H12" s="242" t="s">
        <v>4937</v>
      </c>
      <c r="I12" s="242" t="s">
        <v>4939</v>
      </c>
      <c r="J12" s="261" t="s">
        <v>4940</v>
      </c>
    </row>
    <row r="13" spans="6:10" ht="24.75" customHeight="1">
      <c r="F13" s="241" t="s">
        <v>4431</v>
      </c>
      <c r="G13" s="241" t="s">
        <v>4941</v>
      </c>
      <c r="H13" s="242" t="s">
        <v>4942</v>
      </c>
      <c r="I13" s="242" t="s">
        <v>4944</v>
      </c>
      <c r="J13" s="261" t="s">
        <v>4945</v>
      </c>
    </row>
    <row r="14" spans="6:10" ht="24.75" customHeight="1">
      <c r="F14" s="241" t="s">
        <v>4431</v>
      </c>
      <c r="G14" s="241" t="s">
        <v>4990</v>
      </c>
      <c r="H14" s="247" t="s">
        <v>4991</v>
      </c>
      <c r="I14" s="257" t="s">
        <v>4993</v>
      </c>
      <c r="J14" s="261" t="s">
        <v>4994</v>
      </c>
    </row>
    <row r="15" spans="6:10" ht="24.75" customHeight="1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>
      <c r="F17" s="241" t="s">
        <v>4431</v>
      </c>
      <c r="G17" s="241" t="s">
        <v>4995</v>
      </c>
      <c r="H17" s="242" t="s">
        <v>6514</v>
      </c>
      <c r="I17" s="242" t="s">
        <v>6516</v>
      </c>
      <c r="J17" s="255" t="s">
        <v>5003</v>
      </c>
    </row>
    <row r="18" spans="6:10" ht="24.75" customHeight="1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>
      <c r="F22" s="241" t="s">
        <v>4431</v>
      </c>
      <c r="G22" s="241" t="s">
        <v>4941</v>
      </c>
      <c r="H22" s="242" t="s">
        <v>4946</v>
      </c>
      <c r="I22" s="242" t="s">
        <v>4948</v>
      </c>
      <c r="J22" s="255" t="s">
        <v>4949</v>
      </c>
    </row>
    <row r="23" spans="6:10" ht="24.75" customHeight="1">
      <c r="F23" s="241" t="s">
        <v>4431</v>
      </c>
      <c r="G23" s="241" t="s">
        <v>4961</v>
      </c>
      <c r="H23" s="242" t="s">
        <v>4962</v>
      </c>
      <c r="I23" s="242" t="s">
        <v>4964</v>
      </c>
      <c r="J23" s="255" t="s">
        <v>4965</v>
      </c>
    </row>
    <row r="24" spans="6:10" ht="24.75" customHeight="1">
      <c r="F24" s="241" t="s">
        <v>4431</v>
      </c>
      <c r="G24" s="256" t="s">
        <v>5012</v>
      </c>
      <c r="H24" s="247" t="s">
        <v>5017</v>
      </c>
      <c r="I24" s="257" t="s">
        <v>5019</v>
      </c>
      <c r="J24" s="261" t="s">
        <v>5020</v>
      </c>
    </row>
    <row r="25" spans="6:10" ht="24.75" customHeight="1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>
      <c r="F33" s="241" t="s">
        <v>4431</v>
      </c>
      <c r="G33" s="241" t="s">
        <v>4556</v>
      </c>
      <c r="H33" s="242" t="s">
        <v>6163</v>
      </c>
      <c r="I33" s="242" t="s">
        <v>6165</v>
      </c>
      <c r="J33" s="255" t="s">
        <v>4567</v>
      </c>
    </row>
    <row r="34" spans="6:10" ht="24.75" customHeight="1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2026-07-24T18:25:53Z</dcterms:modified>
  <cp:category/>
  <cp:contentStatus/>
</cp:coreProperties>
</file>