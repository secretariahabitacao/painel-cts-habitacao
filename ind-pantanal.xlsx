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75" documentId="8_{DAC6C9CA-70D7-4111-A0A7-BC6755E560D9}" xr6:coauthVersionLast="47" xr6:coauthVersionMax="47" xr10:uidLastSave="{D297EC80-A07F-4F51-9B36-E90598D4155A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<sst xmlns="http://schemas.openxmlformats.org/spreadsheetml/2006/main" count="33734" uniqueCount="8602">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</sst>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P10" activePane="bottomRight" state="frozen"/>
      <selection pane="topRight"/>
      <selection pane="bottomLeft"/>
      <selection pane="bottomRight" activeCell="AP131" sqref="AP131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>IF(AY101-KD101=0,"",AY101-O101)</f>
        <v>23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3" t="s">
        <v>4831</v>
      </c>
      <c r="AX103" s="105">
        <v>46237</v>
      </c>
      <c r="AY103" s="106" t="s">
        <v>4454</v>
      </c>
      <c r="AZ103" s="157"/>
      <c r="BA103" s="107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>IF(AY106-KD106=0,"",AY106-O106)</f>
        <v>38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>IF(AY113-KD113=0,"",AY113-O113)</f>
        <v>23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>IF(AY116-KD116=0,"",AY116-O116)</f>
        <v>23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3" t="s">
        <v>4831</v>
      </c>
      <c r="AX119" s="105">
        <v>46234</v>
      </c>
      <c r="AY119" s="106" t="s">
        <v>4454</v>
      </c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>IF(AY120-KD120=0,"",AY120-O120)</f>
        <v>28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>IF(AY121-KD121=0,"",AY121-O121)</f>
        <v>23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>IF(AY122-KD122=0,"",AY122-O122)</f>
        <v>23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>IF(AY123-KD123=0,"",AY123-O123)</f>
        <v>23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>IF(AY125-KD125=0,"",AY125-O125)</f>
        <v>23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3" t="s">
        <v>4831</v>
      </c>
      <c r="AX126" s="105">
        <v>46237</v>
      </c>
      <c r="AY126" s="106" t="s">
        <v>4454</v>
      </c>
      <c r="AZ126" s="106"/>
      <c r="BA126" s="107" t="s">
        <v>4330</v>
      </c>
      <c r="BB126" s="112"/>
      <c r="BC126" s="220" t="e">
        <f>IF(AY126-KD126=0,"",AY126-O126)</f>
        <v>#VALUE!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>IF(AY127-KD127=0,"",AY127-O127)</f>
        <v>44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>IF(AY128-KD128=0,"",AY128-O128)</f>
        <v>44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>IF(AY129-KD129=0,"",AY129-O129)</f>
        <v>44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>IF(AY130-KD130=0,"",AY130-O130)</f>
        <v>44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>IF(AY132-KD132=0,"",AY132-O132)</f>
        <v>41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3" t="s">
        <v>4831</v>
      </c>
      <c r="AX133" s="105">
        <v>46234</v>
      </c>
      <c r="AY133" s="106" t="s">
        <v>4454</v>
      </c>
      <c r="AZ133" s="157"/>
      <c r="BA133" s="107" t="s">
        <v>4330</v>
      </c>
      <c r="BB133" s="112"/>
      <c r="BC133" s="220" t="e">
        <f>IF(AY133-KD133=0,"",AY133-O133)</f>
        <v>#VALUE!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3" t="s">
        <v>4831</v>
      </c>
      <c r="AX135" s="105">
        <v>46237</v>
      </c>
      <c r="AY135" s="106" t="s">
        <v>4454</v>
      </c>
      <c r="AZ135" s="157"/>
      <c r="BA135" s="107" t="s">
        <v>4330</v>
      </c>
      <c r="BB135" s="112"/>
      <c r="BC135" s="220" t="e">
        <f>IF(AY135-KD135=0,"",AY135-O135)</f>
        <v>#VALUE!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>IF(AY136-KD136=0,"",AY136-O136)</f>
        <v>65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>IF(AY138-KD138=0,"",AY138-O138)</f>
        <v>36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>IF(AY139-KD139=0,"",AY139-O139)</f>
        <v>36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>IF(AY140-KD140=0,"",AY140-O140)</f>
        <v>50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>IF(AY142-KD142=0,"",AY142-O142)</f>
        <v>43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>IF(AY143-KD143=0,"",AY143-O143)</f>
        <v>37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36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>IF(AY148-KD148=0,"",AY148-O148)</f>
        <v>37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>IF(AY149-KD149=0,"",AY149-O149)</f>
        <v>37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>IF(AY151-KD151=0,"",AY151-O151)</f>
        <v>40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>IF(AY155-KD155=0,"",AY155-O155)</f>
        <v>40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>IF(AY156-KD156=0,"",AY156-O156)</f>
        <v>61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>IF(AY157-KD157=0,"",AY157-O157)</f>
        <v>61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>IF(AY159-KD159=0,"",AY159-O159)</f>
        <v>63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>IF(AY160-KD160=0,"",AY160-O160)</f>
        <v>69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>IF(AY162-KD162=0,"",AY162-O162)</f>
        <v>56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>IF(AY164-KD164=0,"",AY164-O164)</f>
        <v>61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3" t="s">
        <v>4831</v>
      </c>
      <c r="AX169" s="105">
        <v>46237</v>
      </c>
      <c r="AY169" s="106" t="s">
        <v>4454</v>
      </c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3" t="s">
        <v>4831</v>
      </c>
      <c r="AX171" s="105">
        <v>46234</v>
      </c>
      <c r="AY171" s="106" t="s">
        <v>4454</v>
      </c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>IF(AY172-KD172=0,"",AY172-O172)</f>
        <v>77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>IF(AY173-KD173=0,"",AY173-O173)</f>
        <v>62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3" t="s">
        <v>4831</v>
      </c>
      <c r="AX174" s="105">
        <v>46237</v>
      </c>
      <c r="AY174" s="106" t="s">
        <v>4454</v>
      </c>
      <c r="AZ174" s="106"/>
      <c r="BA174" s="107" t="s">
        <v>4330</v>
      </c>
      <c r="BB174" s="136"/>
      <c r="BC174" s="220" t="e">
        <f>IF(AY174-KD174=0,"",AY174-O174)</f>
        <v>#VALUE!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>IF(AY176-KD176=0,"",AY176-O176)</f>
        <v>63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>IF(AY177-KD177=0,"",AY177-O177)</f>
        <v>64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>IF(AY178-KD178=0,"",AY178-O178)</f>
        <v>85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>IF(AY179-KD179=0,"",AY179-O179)</f>
        <v>72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>IF(AY182-KD182=0,"",AY182-O182)</f>
        <v>28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>IF(AY183-KD183=0,"",AY183-O183)</f>
        <v>21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>IF(AY184-KD184=0,"",AY184-O184)</f>
        <v>21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>IF(AY185-KD185=0,"",AY185-O185)</f>
        <v>28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3" t="s">
        <v>4831</v>
      </c>
      <c r="AX187" s="105">
        <v>46237</v>
      </c>
      <c r="AY187" s="106" t="s">
        <v>4454</v>
      </c>
      <c r="AZ187" s="157"/>
      <c r="BA187" s="107" t="s">
        <v>4330</v>
      </c>
      <c r="BB187" s="112"/>
      <c r="BC187" s="220" t="e">
        <f>IF(AY187-KD187=0,"",AY187-O187)</f>
        <v>#VALUE!</v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>IF(AY191-KD191=0,"",AY191-O191)</f>
        <v>28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70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>IF(AY193-KD193=0,"",AY193-O193)</f>
        <v>14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>IF(AY194-KD194=0,"",AY194-O194)</f>
        <v>25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58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3" t="s">
        <v>4831</v>
      </c>
      <c r="AX196" s="105">
        <v>46237</v>
      </c>
      <c r="AY196" s="106" t="s">
        <v>4454</v>
      </c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>IF(AY199-KD199=0,"",AY199-O199)</f>
        <v>18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25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>IF(AY203-KD203=0,"",AY203-O203)</f>
        <v>65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>IF(AY207-KD207=0,"",AY207-O207)</f>
        <v>14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>IF(AY208-KD208=0,"",AY208-O208)</f>
        <v>54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>IF(AY209-KD209=0,"",AY209-O209)</f>
        <v>72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>IF(AY210-KD210=0,"",AY210-O210)</f>
        <v>47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>IF(AY213-KD213=0,"",AY213-O213)</f>
        <v>47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>IF(AY215-KD215=0,"",AY215-O215)</f>
        <v>42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>IF(AY218-KD218=0,"",AY218-O218)</f>
        <v>47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>IF(AY222-KD222=0,"",AY222-O222)</f>
        <v>47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>IF(AY224-KD224=0,"",AY224-O224)</f>
        <v>54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>IF(AY225-KD225=0,"",AY225-O225)</f>
        <v>48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>IF(AY227-KD227=0,"",AY227-O227)</f>
        <v>97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>IF(AY237-KD237=0,"",AY237-O237)</f>
        <v>55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>IF(AY238-KD238=0,"",AY238-O238)</f>
        <v>63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>IF(AY239-KD239=0,"",AY239-O239)</f>
        <v>63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>IF(AY240-KD240=0,"",AY240-O240)</f>
        <v>56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>IF(AY241-KD241=0,"",AY241-O241)</f>
        <v>104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>IF(AY242-KD242=0,"",AY242-O242)</f>
        <v>50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>IF(AY243-KD243=0,"",AY243-O243)</f>
        <v>76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>IF(AY245-KD245=0,"",AY245-O245)</f>
        <v>55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>IF(AY248-KD248=0,"",AY248-O248)</f>
        <v>76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>IF(AY251-KD251=0,"",AY251-O251)</f>
        <v>76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>IF(AY264-KD264=0,"",AY264-O264)</f>
        <v>76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>IF(AY265-KD265=0,"",AY265-O265)</f>
        <v>69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>IF(AY267-KD267=0,"",AY267-O267)</f>
        <v>69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>IF(AY269-KD269=0,"",AY269-O269)</f>
        <v>69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>IF(AY271-KD271=0,"",AY271-O271)</f>
        <v>69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>IF(AY272-KD272=0,"",AY272-O272)</f>
        <v>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>IF(AY276-KD276=0,"",AY276-O276)</f>
        <v>50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>IF(AY277-KD277=0,"",AY277-O277)</f>
        <v>41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>IF(AY279-KD279=0,"",AY279-O279)</f>
        <v>43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>IF(AY282-KD282=0,"",AY282-O282)</f>
        <v>63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>IF(AY286-KD286=0,"",AY286-O286)</f>
        <v>63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>IF(AY288-KD288=0,"",AY288-O288)</f>
        <v>77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>IF(AY289-KD289=0,"",AY289-O289)</f>
        <v>84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>IF(AY292-KD292=0,"",AY292-O292)</f>
        <v>63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>IF(AY294-KD294=0,"",AY294-O294)</f>
        <v>46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>IF(AY299-KD299=0,"",AY299-O299)</f>
        <v>63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>IF(AY300-KD300=0,"",AY300-O300)</f>
        <v>63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>IF(AY302-KD302=0,"",AY302-O302)</f>
        <v>63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>IF(AY303-KD303=0,"",AY303-O303)</f>
        <v>147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>IF(AY304-KD304=0,"",AY304-O304)</f>
        <v>62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>IF(AY305-KD305=0,"",AY305-O305)</f>
        <v>50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>IF(AY306-KD306=0,"",AY306-O306)</f>
        <v>81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>IF(AY308-KD308=0,"",AY308-O308)</f>
        <v>50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>IF(AY309-KD309=0,"",AY309-O309)</f>
        <v>130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>IF(AY310-KD310=0,"",AY310-O310)</f>
        <v>43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>IF(AY311-KD311=0,"",AY311-O311)</f>
        <v>53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>IF(AY316-KD316=0,"",AY316-O316)</f>
        <v>53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>IF(AY322-KD322=0,"",AY322-O322)</f>
        <v>33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>IF(AY326-KD326=0,"",AY326-O326)</f>
        <v>53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>IF(AY327-KD327=0,"",AY327-O327)</f>
        <v>33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3" t="s">
        <v>4831</v>
      </c>
      <c r="AX329" s="105">
        <v>46234</v>
      </c>
      <c r="AY329" s="106" t="s">
        <v>4454</v>
      </c>
      <c r="AZ329" s="106"/>
      <c r="BA329" s="107" t="s">
        <v>4330</v>
      </c>
      <c r="BB329" s="112"/>
      <c r="BC329" s="220" t="e">
        <f>IF(AY329-KD329=0,"",AY329-O329)</f>
        <v>#VALUE!</v>
      </c>
      <c r="BD329" s="103" t="str">
        <f>IF(AND(AI329&lt;&gt;"SIM",AI329="UH"),"AA","INDENIZAÇÃO")</f>
        <v>INDENIZAÇÃO</v>
      </c>
      <c r="BE329" s="103" t="str">
        <f>IF(AND(AY329&lt;&gt;"AGUARDANDO",AY329&lt;&gt;"",N329="AUXÍLIO ALUGUEL ATÉ INDENIZAÇÃO"),"SIM","NÃO")</f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>IF(AY331-KD331=0,"",AY331-O331)</f>
        <v>94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>IF(AY333-KD333=0,"",AY333-O333)</f>
        <v>101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>IF(AY336-KD336=0,"",AY336-O336)</f>
        <v>94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>IF(AY338-KD338=0,"",AY338-O338)</f>
        <v>80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>IF(AY344-KD344=0,"",AY344-O344)</f>
        <v>80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>IF(AY346-KD346=0,"",AY346-O346)</f>
        <v>73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>IF(AY353-KD353=0,"",AY353-O353)</f>
        <v>91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>IF(AY354-KD354=0,"",AY354-O354)</f>
        <v>46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>IF(AY355-KD355=0,"",AY355-O355)</f>
        <v>80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>IF(AY358-KD358=0,"",AY358-O358)</f>
        <v>80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>IF(AY360-KD360=0,"",AY360-O360)</f>
        <v>94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>IF(AY361-KD361=0,"",AY361-O361)</f>
        <v>75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>IF(AY363-KD363=0,"",AY363-O363)</f>
        <v>137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>IF(AY364-KD364=0,"",AY364-O364)</f>
        <v>62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>IF(AY365-KD365=0,"",AY365-O365)</f>
        <v>102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>IF(AY366-KD366=0,"",AY366-O366)</f>
        <v>60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>IF(AY369-KD369=0,"",AY369-O369)</f>
        <v>95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>IF(AY370-KD370=0,"",AY370-O370)</f>
        <v>95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>IF(AY371-KD371=0,"",AY371-O371)</f>
        <v>36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>IF(AY372-KD372=0,"",AY372-O372)</f>
        <v>30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>IF(AY374-KD374=0,"",AY374-O374)</f>
        <v>40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>IF(AY376-KD376=0,"",AY376-O376)</f>
        <v>77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>IF(AY379-KD379=0,"",AY379-O379)</f>
        <v>117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>IF(AY380-KD380=0,"",AY380-O380)</f>
        <v>58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>IF(AY381-KD381=0,"",AY381-O381)</f>
        <v>92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>IF(AY385-KD385=0,"",AY385-O385)</f>
        <v>71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>IF(AY386-KD386=0,"",AY386-O386)</f>
        <v>46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>IF(AY389-KD389=0,"",AY389-O389)</f>
        <v>45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>IF(AY390-KD390=0,"",AY390-O390)</f>
        <v>58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>IF(AY399-KD399=0,"",AY399-O399)</f>
        <v>71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3" t="s">
        <v>4831</v>
      </c>
      <c r="AX407" s="105">
        <v>46234</v>
      </c>
      <c r="AY407" s="106" t="s">
        <v>4454</v>
      </c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>IF(AY421-KD421=0,"",AY421-O421)</f>
        <v>#VALUE!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>IF(AY423-KD423=0,"",AY423-O423)</f>
        <v>45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>IF(AY425-KD425=0,"",AY425-O425)</f>
        <v>45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>IF(AY427-KD427=0,"",AY427-O427)</f>
        <v>60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>IF(AY428-KD428=0,"",AY428-O428)</f>
        <v>106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>IF(AY429-KD429=0,"",AY429-O429)</f>
        <v>51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57"/>
      <c r="BA433" s="107" t="s">
        <v>4330</v>
      </c>
      <c r="BB433" s="112"/>
      <c r="BC433" s="220" t="e">
        <f>IF(AY433-KD433=0,"",AY433-O433)</f>
        <v>#VALUE!</v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>IF(AY442-KD442=0,"",AY442-O442)</f>
        <v>#VALUE!</v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>IF(AY443-KD443=0,"",AY443-O443)</f>
        <v>51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>IF(AY444-KD444=0,"",AY444-O444)</f>
        <v>64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>IF(AY449-KD449=0,"",AY449-O449)</f>
        <v>71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>IF(AY450-KD450=0,"",AY450-O450)</f>
        <v>51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3" t="s">
        <v>4831</v>
      </c>
      <c r="AX460" s="105">
        <v>46234</v>
      </c>
      <c r="AY460" s="106" t="s">
        <v>4454</v>
      </c>
      <c r="AZ460" s="157"/>
      <c r="BA460" s="107" t="s">
        <v>4330</v>
      </c>
      <c r="BB460" s="112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>IF(AY465-KD465=0,"",AY465-O465)</f>
        <v>#VALUE!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308" t="s">
        <v>4338</v>
      </c>
      <c r="AR474" s="309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>IF(AY474-KD474=0,"",AY474-O474)</f>
        <v>#VALUE!</v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06"/>
      <c r="BA476" s="107" t="s">
        <v>4330</v>
      </c>
      <c r="BB476" s="136"/>
      <c r="BC476" s="220" t="e">
        <f>IF(AY476-KD476=0,"",AY476-O476)</f>
        <v>#VALUE!</v>
      </c>
      <c r="BD476" s="103" t="str">
        <f>IF(AND(AI476&lt;&gt;"SIM",AI476="UH"),"AA","INDENIZAÇÃO")</f>
        <v>INDENIZAÇÃO</v>
      </c>
      <c r="BE476" s="103" t="str">
        <f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46237</v>
      </c>
      <c r="AY479" s="106" t="s">
        <v>4454</v>
      </c>
      <c r="AZ479" s="157"/>
      <c r="BA479" s="107" t="s">
        <v>4330</v>
      </c>
      <c r="BB479" s="112"/>
      <c r="BC479" s="220" t="e">
        <f>IF(AY479-KD479=0,"",AY479-O479)</f>
        <v>#VALUE!</v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>IF(AY480-KD480=0,"",AY480-O480)</f>
        <v>48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>IF(AY481-KD481=0,"",AY481-O481)</f>
        <v>48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>IF(AY482-KD482=0,"",AY482-O482)</f>
        <v>48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>IF(AY483-KD483=0,"",AY483-O483)</f>
        <v>48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>IF(AY492-KD492=0,"",AY492-O492)</f>
        <v>74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>IF(AY495-KD495=0,"",AY495-O495)</f>
        <v>101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>IF(AY502-KD502=0,"",AY502-O502)</f>
        <v>94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>IF(AY514-KD514=0,"",AY514-O514)</f>
        <v>101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46234</v>
      </c>
      <c r="AY523" s="106" t="s">
        <v>4454</v>
      </c>
      <c r="AZ523" s="157"/>
      <c r="BA523" s="107" t="s">
        <v>4330</v>
      </c>
      <c r="BB523" s="112"/>
      <c r="BC523" s="220" t="e">
        <f>IF(AY523-KD523=0,"",AY523-O523)</f>
        <v>#VALUE!</v>
      </c>
      <c r="BD523" s="103" t="str">
        <f>IF(AND(AI523&lt;&gt;"SIM",AI523="UH"),"AA","INDENIZAÇÃO")</f>
        <v>INDENIZAÇÃO</v>
      </c>
      <c r="BE523" s="103" t="str">
        <f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>IF(AY536-KD536=0,"",AY536-O536)</f>
        <v>48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>IF(AY543-KD543=0,"",AY543-O543)</f>
        <v>49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46234</v>
      </c>
      <c r="AY551" s="106" t="s">
        <v>4454</v>
      </c>
      <c r="AZ551" s="106"/>
      <c r="BA551" s="107" t="s">
        <v>4330</v>
      </c>
      <c r="BB551" s="112"/>
      <c r="BC551" s="220" t="e">
        <f>IF(AY551-KD551=0,"",AY551-O551)</f>
        <v>#VALUE!</v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>IF(AY563-KD563=0,"",AY563-O563)</f>
        <v>94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>IF(AY572-KD572=0,"",AY572-O572)</f>
        <v>115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>IF(AY574-KD574=0,"",AY574-O574)</f>
        <v>82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46234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3:BC603" si="12">IF(AY595-KD595=0,"",AY595-O595)</f>
        <v/>
      </c>
      <c r="BD595" s="103" t="str">
        <f t="shared" ref="BD593:BD603" si="13">IF(AND(AI595&lt;&gt;"SIM",AI595="UH"),"AA","INDENIZAÇÃO")</f>
        <v>AA</v>
      </c>
      <c r="BE595" s="103" t="str">
        <f t="shared" ref="BE593:BE603" si="14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12"/>
        <v>116</v>
      </c>
      <c r="BD596" s="103" t="str">
        <f t="shared" si="13"/>
        <v>INDENIZAÇÃO</v>
      </c>
      <c r="BE596" s="103" t="str">
        <f t="shared" si="14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12"/>
        <v/>
      </c>
      <c r="BD597" s="103" t="str">
        <f t="shared" si="13"/>
        <v>AA</v>
      </c>
      <c r="BE597" s="103" t="str">
        <f t="shared" si="14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12"/>
        <v/>
      </c>
      <c r="BD598" s="103" t="str">
        <f t="shared" si="13"/>
        <v>AA</v>
      </c>
      <c r="BE598" s="103" t="str">
        <f t="shared" si="14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12"/>
        <v/>
      </c>
      <c r="BD599" s="103" t="str">
        <f t="shared" si="13"/>
        <v>AA</v>
      </c>
      <c r="BE599" s="103" t="str">
        <f t="shared" si="14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12"/>
        <v/>
      </c>
      <c r="BD600" s="103" t="str">
        <f t="shared" si="13"/>
        <v>AA</v>
      </c>
      <c r="BE600" s="103" t="str">
        <f t="shared" si="14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12"/>
        <v/>
      </c>
      <c r="BD601" s="103" t="str">
        <f t="shared" si="13"/>
        <v>AA</v>
      </c>
      <c r="BE601" s="103" t="str">
        <f t="shared" si="14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12"/>
        <v/>
      </c>
      <c r="BD602" s="103" t="str">
        <f t="shared" si="13"/>
        <v>AA</v>
      </c>
      <c r="BE602" s="103" t="str">
        <f t="shared" si="14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12"/>
        <v/>
      </c>
      <c r="BD603" s="103" t="str">
        <f t="shared" si="13"/>
        <v>AA</v>
      </c>
      <c r="BE603" s="103" t="str">
        <f t="shared" si="14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15">IF(AY608-KD608=0,"",AY608-O608)</f>
        <v>50</v>
      </c>
      <c r="BD608" s="103" t="str">
        <f t="shared" ref="BD608:BD671" si="16">IF(AND(AI608&lt;&gt;"SIM",AI608="UH"),"AA","INDENIZAÇÃO")</f>
        <v>INDENIZAÇÃO</v>
      </c>
      <c r="BE608" s="103" t="str">
        <f t="shared" ref="BE608:BE671" si="17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15"/>
        <v>50</v>
      </c>
      <c r="BD609" s="103" t="str">
        <f t="shared" si="16"/>
        <v>INDENIZAÇÃO</v>
      </c>
      <c r="BE609" s="103" t="str">
        <f t="shared" si="17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15"/>
        <v>116</v>
      </c>
      <c r="BD610" s="103" t="str">
        <f t="shared" si="16"/>
        <v>INDENIZAÇÃO</v>
      </c>
      <c r="BE610" s="103" t="str">
        <f t="shared" si="17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15"/>
        <v>97</v>
      </c>
      <c r="BD611" s="103" t="str">
        <f t="shared" si="16"/>
        <v>INDENIZAÇÃO</v>
      </c>
      <c r="BE611" s="103" t="str">
        <f t="shared" si="17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15"/>
        <v/>
      </c>
      <c r="BD612" s="103" t="str">
        <f t="shared" si="16"/>
        <v>AA</v>
      </c>
      <c r="BE612" s="103" t="str">
        <f t="shared" si="17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15"/>
        <v/>
      </c>
      <c r="BD613" s="103" t="str">
        <f t="shared" si="16"/>
        <v>AA</v>
      </c>
      <c r="BE613" s="103" t="str">
        <f t="shared" si="17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15"/>
        <v/>
      </c>
      <c r="BD614" s="103" t="str">
        <f t="shared" si="16"/>
        <v>AA</v>
      </c>
      <c r="BE614" s="103" t="str">
        <f t="shared" si="17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15"/>
        <v/>
      </c>
      <c r="BD615" s="103" t="str">
        <f t="shared" si="16"/>
        <v>AA</v>
      </c>
      <c r="BE615" s="103" t="str">
        <f t="shared" si="17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15"/>
        <v>104</v>
      </c>
      <c r="BD616" s="103" t="str">
        <f t="shared" si="16"/>
        <v>INDENIZAÇÃO</v>
      </c>
      <c r="BE616" s="103" t="str">
        <f t="shared" si="17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15"/>
        <v/>
      </c>
      <c r="BD617" s="103" t="str">
        <f t="shared" si="16"/>
        <v>AA</v>
      </c>
      <c r="BE617" s="103" t="str">
        <f t="shared" si="17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15"/>
        <v/>
      </c>
      <c r="BD618" s="103" t="str">
        <f t="shared" si="16"/>
        <v>AA</v>
      </c>
      <c r="BE618" s="103" t="str">
        <f t="shared" si="17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15"/>
        <v/>
      </c>
      <c r="BD619" s="103" t="str">
        <f t="shared" si="16"/>
        <v>INDENIZAÇÃO</v>
      </c>
      <c r="BE619" s="103" t="str">
        <f t="shared" si="17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15"/>
        <v/>
      </c>
      <c r="BD620" s="103" t="str">
        <f t="shared" si="16"/>
        <v>AA</v>
      </c>
      <c r="BE620" s="103" t="str">
        <f t="shared" si="17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15"/>
        <v/>
      </c>
      <c r="BD621" s="103" t="str">
        <f t="shared" si="16"/>
        <v>AA</v>
      </c>
      <c r="BE621" s="103" t="str">
        <f t="shared" si="17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15"/>
        <v>59</v>
      </c>
      <c r="BD622" s="103" t="str">
        <f t="shared" si="16"/>
        <v>INDENIZAÇÃO</v>
      </c>
      <c r="BE622" s="103" t="str">
        <f t="shared" si="17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15"/>
        <v/>
      </c>
      <c r="BD623" s="103" t="str">
        <f t="shared" si="16"/>
        <v>AA</v>
      </c>
      <c r="BE623" s="103" t="str">
        <f t="shared" si="17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15"/>
        <v>96</v>
      </c>
      <c r="BD624" s="103" t="str">
        <f t="shared" si="16"/>
        <v>INDENIZAÇÃO</v>
      </c>
      <c r="BE624" s="103" t="str">
        <f t="shared" si="17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15"/>
        <v/>
      </c>
      <c r="BD625" s="103" t="str">
        <f t="shared" si="16"/>
        <v>AA</v>
      </c>
      <c r="BE625" s="103" t="str">
        <f t="shared" si="17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15"/>
        <v/>
      </c>
      <c r="BD626" s="103" t="str">
        <f t="shared" si="16"/>
        <v>AA</v>
      </c>
      <c r="BE626" s="103" t="str">
        <f t="shared" si="17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15"/>
        <v/>
      </c>
      <c r="BD627" s="103" t="str">
        <f t="shared" si="16"/>
        <v>AA</v>
      </c>
      <c r="BE627" s="103" t="str">
        <f t="shared" si="17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15"/>
        <v>203</v>
      </c>
      <c r="BD628" s="103" t="str">
        <f t="shared" si="16"/>
        <v>INDENIZAÇÃO</v>
      </c>
      <c r="BE628" s="103" t="str">
        <f t="shared" si="17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15"/>
        <v/>
      </c>
      <c r="BD629" s="103" t="str">
        <f t="shared" si="16"/>
        <v>AA</v>
      </c>
      <c r="BE629" s="103" t="str">
        <f t="shared" si="17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15"/>
        <v/>
      </c>
      <c r="BD630" s="103" t="str">
        <f t="shared" si="16"/>
        <v>AA</v>
      </c>
      <c r="BE630" s="103" t="str">
        <f t="shared" si="17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15"/>
        <v>144</v>
      </c>
      <c r="BD631" s="103" t="str">
        <f t="shared" si="16"/>
        <v>INDENIZAÇÃO</v>
      </c>
      <c r="BE631" s="103" t="str">
        <f t="shared" si="17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15"/>
        <v/>
      </c>
      <c r="BD632" s="103" t="str">
        <f t="shared" si="16"/>
        <v>AA</v>
      </c>
      <c r="BE632" s="103" t="str">
        <f t="shared" si="17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15"/>
        <v/>
      </c>
      <c r="BD633" s="103" t="str">
        <f t="shared" si="16"/>
        <v>AA</v>
      </c>
      <c r="BE633" s="103" t="str">
        <f t="shared" si="17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15"/>
        <v/>
      </c>
      <c r="BD634" s="103" t="str">
        <f t="shared" si="16"/>
        <v>AA</v>
      </c>
      <c r="BE634" s="103" t="str">
        <f t="shared" si="17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15"/>
        <v>70</v>
      </c>
      <c r="BD635" s="103" t="str">
        <f t="shared" si="16"/>
        <v>INDENIZAÇÃO</v>
      </c>
      <c r="BE635" s="103" t="str">
        <f t="shared" si="17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15"/>
        <v/>
      </c>
      <c r="BD636" s="103" t="str">
        <f t="shared" si="16"/>
        <v>AA</v>
      </c>
      <c r="BE636" s="103" t="str">
        <f t="shared" si="17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15"/>
        <v>96</v>
      </c>
      <c r="BD637" s="103" t="str">
        <f t="shared" si="16"/>
        <v>INDENIZAÇÃO</v>
      </c>
      <c r="BE637" s="103" t="str">
        <f t="shared" si="17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15"/>
        <v/>
      </c>
      <c r="BD638" s="103" t="str">
        <f t="shared" si="16"/>
        <v>AA</v>
      </c>
      <c r="BE638" s="103" t="str">
        <f t="shared" si="17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15"/>
        <v>137</v>
      </c>
      <c r="BD639" s="103" t="str">
        <f t="shared" si="16"/>
        <v>INDENIZAÇÃO</v>
      </c>
      <c r="BE639" s="103" t="str">
        <f t="shared" si="17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15"/>
        <v>137</v>
      </c>
      <c r="BD640" s="103" t="str">
        <f t="shared" si="16"/>
        <v>INDENIZAÇÃO</v>
      </c>
      <c r="BE640" s="103" t="str">
        <f t="shared" si="17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15"/>
        <v>71</v>
      </c>
      <c r="BD641" s="103" t="str">
        <f t="shared" si="16"/>
        <v>INDENIZAÇÃO</v>
      </c>
      <c r="BE641" s="103" t="str">
        <f t="shared" si="17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15"/>
        <v>106</v>
      </c>
      <c r="BD642" s="103" t="str">
        <f t="shared" si="16"/>
        <v>INDENIZAÇÃO</v>
      </c>
      <c r="BE642" s="103" t="str">
        <f t="shared" si="17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15"/>
        <v/>
      </c>
      <c r="BD643" s="103" t="str">
        <f t="shared" si="16"/>
        <v>AA</v>
      </c>
      <c r="BE643" s="103" t="str">
        <f t="shared" si="17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15"/>
        <v/>
      </c>
      <c r="BD644" s="103" t="str">
        <f t="shared" si="16"/>
        <v>AA</v>
      </c>
      <c r="BE644" s="103" t="str">
        <f t="shared" si="17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15"/>
        <v/>
      </c>
      <c r="BD645" s="103" t="str">
        <f t="shared" si="16"/>
        <v>AA</v>
      </c>
      <c r="BE645" s="103" t="str">
        <f t="shared" si="17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15"/>
        <v/>
      </c>
      <c r="BD646" s="103" t="str">
        <f t="shared" si="16"/>
        <v>AA</v>
      </c>
      <c r="BE646" s="103" t="str">
        <f t="shared" si="17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15"/>
        <v/>
      </c>
      <c r="BD647" s="103" t="str">
        <f t="shared" si="16"/>
        <v>AA</v>
      </c>
      <c r="BE647" s="103" t="str">
        <f t="shared" si="17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15"/>
        <v/>
      </c>
      <c r="BD648" s="103" t="str">
        <f t="shared" si="16"/>
        <v>AA</v>
      </c>
      <c r="BE648" s="103" t="str">
        <f t="shared" si="17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15"/>
        <v>118</v>
      </c>
      <c r="BD649" s="103" t="str">
        <f t="shared" si="16"/>
        <v>INDENIZAÇÃO</v>
      </c>
      <c r="BE649" s="103" t="str">
        <f t="shared" si="17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15"/>
        <v/>
      </c>
      <c r="BD650" s="103" t="str">
        <f t="shared" si="16"/>
        <v>AA</v>
      </c>
      <c r="BE650" s="103" t="str">
        <f t="shared" si="17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15"/>
        <v/>
      </c>
      <c r="BD651" s="103" t="str">
        <f t="shared" si="16"/>
        <v>AA</v>
      </c>
      <c r="BE651" s="103" t="str">
        <f t="shared" si="17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15"/>
        <v/>
      </c>
      <c r="BD652" s="103" t="str">
        <f t="shared" si="16"/>
        <v>AA</v>
      </c>
      <c r="BE652" s="103" t="str">
        <f t="shared" si="17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15"/>
        <v>105</v>
      </c>
      <c r="BD653" s="103" t="str">
        <f t="shared" si="16"/>
        <v>INDENIZAÇÃO</v>
      </c>
      <c r="BE653" s="103" t="str">
        <f t="shared" si="17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15"/>
        <v>85</v>
      </c>
      <c r="BD654" s="103" t="str">
        <f t="shared" si="16"/>
        <v>INDENIZAÇÃO</v>
      </c>
      <c r="BE654" s="103" t="str">
        <f t="shared" si="17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15"/>
        <v/>
      </c>
      <c r="BD655" s="103" t="str">
        <f t="shared" si="16"/>
        <v>AA</v>
      </c>
      <c r="BE655" s="103" t="str">
        <f t="shared" si="17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15"/>
        <v>89</v>
      </c>
      <c r="BD656" s="103" t="str">
        <f t="shared" si="16"/>
        <v>INDENIZAÇÃO</v>
      </c>
      <c r="BE656" s="103" t="str">
        <f t="shared" si="17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15"/>
        <v/>
      </c>
      <c r="BD657" s="103" t="str">
        <f t="shared" si="16"/>
        <v>INDENIZAÇÃO</v>
      </c>
      <c r="BE657" s="103" t="str">
        <f t="shared" si="17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15"/>
        <v>77</v>
      </c>
      <c r="BD658" s="103" t="str">
        <f t="shared" si="16"/>
        <v>INDENIZAÇÃO</v>
      </c>
      <c r="BE658" s="103" t="str">
        <f t="shared" si="17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15"/>
        <v>99</v>
      </c>
      <c r="BD659" s="103" t="str">
        <f t="shared" si="16"/>
        <v>INDENIZAÇÃO</v>
      </c>
      <c r="BE659" s="103" t="str">
        <f t="shared" si="17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15"/>
        <v/>
      </c>
      <c r="BD660" s="103" t="str">
        <f t="shared" si="16"/>
        <v>AA</v>
      </c>
      <c r="BE660" s="103" t="str">
        <f t="shared" si="17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15"/>
        <v/>
      </c>
      <c r="BD661" s="103" t="str">
        <f t="shared" si="16"/>
        <v>AA</v>
      </c>
      <c r="BE661" s="103" t="str">
        <f t="shared" si="17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15"/>
        <v/>
      </c>
      <c r="BD662" s="103" t="str">
        <f t="shared" si="16"/>
        <v>INDENIZAÇÃO</v>
      </c>
      <c r="BE662" s="103" t="str">
        <f t="shared" si="17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15"/>
        <v>150</v>
      </c>
      <c r="BD663" s="103" t="str">
        <f t="shared" si="16"/>
        <v>INDENIZAÇÃO</v>
      </c>
      <c r="BE663" s="103" t="str">
        <f t="shared" si="17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15"/>
        <v/>
      </c>
      <c r="BD664" s="103" t="str">
        <f t="shared" si="16"/>
        <v>AA</v>
      </c>
      <c r="BE664" s="103" t="str">
        <f t="shared" si="17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15"/>
        <v/>
      </c>
      <c r="BD665" s="103" t="str">
        <f t="shared" si="16"/>
        <v>AA</v>
      </c>
      <c r="BE665" s="103" t="str">
        <f t="shared" si="17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15"/>
        <v/>
      </c>
      <c r="BD666" s="103" t="str">
        <f t="shared" si="16"/>
        <v>AA</v>
      </c>
      <c r="BE666" s="103" t="str">
        <f t="shared" si="17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15"/>
        <v/>
      </c>
      <c r="BD667" s="103" t="str">
        <f t="shared" si="16"/>
        <v>AA</v>
      </c>
      <c r="BE667" s="103" t="str">
        <f t="shared" si="17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15"/>
        <v/>
      </c>
      <c r="BD668" s="103" t="str">
        <f t="shared" si="16"/>
        <v>AA</v>
      </c>
      <c r="BE668" s="103" t="str">
        <f t="shared" si="17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15"/>
        <v/>
      </c>
      <c r="BD669" s="103" t="str">
        <f t="shared" si="16"/>
        <v>AA</v>
      </c>
      <c r="BE669" s="103" t="str">
        <f t="shared" si="17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15"/>
        <v/>
      </c>
      <c r="BD670" s="103" t="str">
        <f t="shared" si="16"/>
        <v>AA</v>
      </c>
      <c r="BE670" s="103" t="str">
        <f t="shared" si="17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15"/>
        <v>53</v>
      </c>
      <c r="BD671" s="103" t="str">
        <f t="shared" si="16"/>
        <v>INDENIZAÇÃO</v>
      </c>
      <c r="BE671" s="103" t="str">
        <f t="shared" si="17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18">IF(AY672-KD672=0,"",AY672-O672)</f>
        <v/>
      </c>
      <c r="BD672" s="103" t="str">
        <f t="shared" ref="BD672:BD735" si="19">IF(AND(AI672&lt;&gt;"SIM",AI672="UH"),"AA","INDENIZAÇÃO")</f>
        <v>AA</v>
      </c>
      <c r="BE672" s="103" t="str">
        <f t="shared" ref="BE672:BE735" si="20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18"/>
        <v/>
      </c>
      <c r="BD673" s="103" t="str">
        <f t="shared" si="19"/>
        <v>AA</v>
      </c>
      <c r="BE673" s="103" t="str">
        <f t="shared" si="20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18"/>
        <v/>
      </c>
      <c r="BD674" s="103" t="str">
        <f t="shared" si="19"/>
        <v>AA</v>
      </c>
      <c r="BE674" s="103" t="str">
        <f t="shared" si="20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18"/>
        <v/>
      </c>
      <c r="BD675" s="103" t="str">
        <f t="shared" si="19"/>
        <v>AA</v>
      </c>
      <c r="BE675" s="103" t="str">
        <f t="shared" si="20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18"/>
        <v/>
      </c>
      <c r="BD676" s="103" t="str">
        <f t="shared" si="19"/>
        <v>AA</v>
      </c>
      <c r="BE676" s="103" t="str">
        <f t="shared" si="20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18"/>
        <v/>
      </c>
      <c r="BD677" s="103" t="str">
        <f t="shared" si="19"/>
        <v>AA</v>
      </c>
      <c r="BE677" s="103" t="str">
        <f t="shared" si="20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18"/>
        <v/>
      </c>
      <c r="BD678" s="103" t="str">
        <f t="shared" si="19"/>
        <v>AA</v>
      </c>
      <c r="BE678" s="103" t="str">
        <f t="shared" si="20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18"/>
        <v>102</v>
      </c>
      <c r="BD679" s="103" t="str">
        <f t="shared" si="19"/>
        <v>INDENIZAÇÃO</v>
      </c>
      <c r="BE679" s="103" t="str">
        <f t="shared" si="20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18"/>
        <v>84</v>
      </c>
      <c r="BD680" s="103" t="str">
        <f t="shared" si="19"/>
        <v>INDENIZAÇÃO</v>
      </c>
      <c r="BE680" s="103" t="str">
        <f t="shared" si="20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18"/>
        <v/>
      </c>
      <c r="BD681" s="103" t="str">
        <f t="shared" si="19"/>
        <v>AA</v>
      </c>
      <c r="BE681" s="103" t="str">
        <f t="shared" si="20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18"/>
        <v/>
      </c>
      <c r="BD682" s="103" t="str">
        <f t="shared" si="19"/>
        <v>AA</v>
      </c>
      <c r="BE682" s="103" t="str">
        <f t="shared" si="20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18"/>
        <v/>
      </c>
      <c r="BD683" s="103" t="str">
        <f t="shared" si="19"/>
        <v>AA</v>
      </c>
      <c r="BE683" s="103" t="str">
        <f t="shared" si="20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18"/>
        <v/>
      </c>
      <c r="BD684" s="103" t="str">
        <f t="shared" si="19"/>
        <v>AA</v>
      </c>
      <c r="BE684" s="103" t="str">
        <f t="shared" si="20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18"/>
        <v/>
      </c>
      <c r="BD685" s="103" t="str">
        <f t="shared" si="19"/>
        <v>AA</v>
      </c>
      <c r="BE685" s="103" t="str">
        <f t="shared" si="20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18"/>
        <v/>
      </c>
      <c r="BD686" s="103" t="str">
        <f t="shared" si="19"/>
        <v>AA</v>
      </c>
      <c r="BE686" s="103" t="str">
        <f t="shared" si="20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18"/>
        <v/>
      </c>
      <c r="BD687" s="103" t="str">
        <f t="shared" si="19"/>
        <v>AA</v>
      </c>
      <c r="BE687" s="103" t="str">
        <f t="shared" si="20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18"/>
        <v/>
      </c>
      <c r="BD688" s="103" t="str">
        <f t="shared" si="19"/>
        <v>AA</v>
      </c>
      <c r="BE688" s="103" t="str">
        <f t="shared" si="20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18"/>
        <v/>
      </c>
      <c r="BD689" s="103" t="str">
        <f t="shared" si="19"/>
        <v>AA</v>
      </c>
      <c r="BE689" s="103" t="str">
        <f t="shared" si="20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18"/>
        <v/>
      </c>
      <c r="BD690" s="103" t="str">
        <f t="shared" si="19"/>
        <v>AA</v>
      </c>
      <c r="BE690" s="103" t="str">
        <f t="shared" si="20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18"/>
        <v/>
      </c>
      <c r="BD691" s="103" t="str">
        <f t="shared" si="19"/>
        <v>AA</v>
      </c>
      <c r="BE691" s="103" t="str">
        <f t="shared" si="20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18"/>
        <v/>
      </c>
      <c r="BD692" s="103" t="str">
        <f t="shared" si="19"/>
        <v>AA</v>
      </c>
      <c r="BE692" s="103" t="str">
        <f t="shared" si="20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18"/>
        <v/>
      </c>
      <c r="BD693" s="103" t="str">
        <f t="shared" si="19"/>
        <v>AA</v>
      </c>
      <c r="BE693" s="103" t="str">
        <f t="shared" si="20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18"/>
        <v/>
      </c>
      <c r="BD694" s="103" t="str">
        <f t="shared" si="19"/>
        <v>AA</v>
      </c>
      <c r="BE694" s="103" t="str">
        <f t="shared" si="20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18"/>
        <v/>
      </c>
      <c r="BD695" s="103" t="str">
        <f t="shared" si="19"/>
        <v>AA</v>
      </c>
      <c r="BE695" s="103" t="str">
        <f t="shared" si="20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18"/>
        <v>84</v>
      </c>
      <c r="BD696" s="103" t="str">
        <f t="shared" si="19"/>
        <v>INDENIZAÇÃO</v>
      </c>
      <c r="BE696" s="103" t="str">
        <f t="shared" si="20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18"/>
        <v/>
      </c>
      <c r="BD697" s="103" t="str">
        <f t="shared" si="19"/>
        <v>AA</v>
      </c>
      <c r="BE697" s="103" t="str">
        <f t="shared" si="20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18"/>
        <v/>
      </c>
      <c r="BD698" s="103" t="str">
        <f t="shared" si="19"/>
        <v>AA</v>
      </c>
      <c r="BE698" s="103" t="str">
        <f t="shared" si="20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18"/>
        <v/>
      </c>
      <c r="BD699" s="103" t="str">
        <f t="shared" si="19"/>
        <v>AA</v>
      </c>
      <c r="BE699" s="103" t="str">
        <f t="shared" si="20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18"/>
        <v/>
      </c>
      <c r="BD700" s="103" t="str">
        <f t="shared" si="19"/>
        <v>AA</v>
      </c>
      <c r="BE700" s="103" t="str">
        <f t="shared" si="20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18"/>
        <v/>
      </c>
      <c r="BD701" s="103" t="str">
        <f t="shared" si="19"/>
        <v>AA</v>
      </c>
      <c r="BE701" s="103" t="str">
        <f t="shared" si="20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18"/>
        <v/>
      </c>
      <c r="BD702" s="103" t="str">
        <f t="shared" si="19"/>
        <v>AA</v>
      </c>
      <c r="BE702" s="103" t="str">
        <f t="shared" si="20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18"/>
        <v/>
      </c>
      <c r="BD703" s="103" t="str">
        <f t="shared" si="19"/>
        <v>AA</v>
      </c>
      <c r="BE703" s="103" t="str">
        <f t="shared" si="20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18"/>
        <v/>
      </c>
      <c r="BD704" s="103" t="str">
        <f t="shared" si="19"/>
        <v>AA</v>
      </c>
      <c r="BE704" s="103" t="str">
        <f t="shared" si="20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18"/>
        <v/>
      </c>
      <c r="BD705" s="103" t="str">
        <f t="shared" si="19"/>
        <v>AA</v>
      </c>
      <c r="BE705" s="103" t="str">
        <f t="shared" si="20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18"/>
        <v/>
      </c>
      <c r="BD706" s="103" t="str">
        <f t="shared" si="19"/>
        <v>AA</v>
      </c>
      <c r="BE706" s="103" t="str">
        <f t="shared" si="20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18"/>
        <v/>
      </c>
      <c r="BD707" s="103" t="str">
        <f t="shared" si="19"/>
        <v>AA</v>
      </c>
      <c r="BE707" s="103" t="str">
        <f t="shared" si="20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18"/>
        <v/>
      </c>
      <c r="BD708" s="103" t="str">
        <f t="shared" si="19"/>
        <v>AA</v>
      </c>
      <c r="BE708" s="103" t="str">
        <f t="shared" si="20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18"/>
        <v/>
      </c>
      <c r="BD709" s="103" t="str">
        <f t="shared" si="19"/>
        <v>AA</v>
      </c>
      <c r="BE709" s="103" t="str">
        <f t="shared" si="20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18"/>
        <v/>
      </c>
      <c r="BD710" s="103" t="str">
        <f t="shared" si="19"/>
        <v>AA</v>
      </c>
      <c r="BE710" s="103" t="str">
        <f t="shared" si="20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18"/>
        <v/>
      </c>
      <c r="BD711" s="103" t="str">
        <f t="shared" si="19"/>
        <v>AA</v>
      </c>
      <c r="BE711" s="103" t="str">
        <f t="shared" si="20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18"/>
        <v/>
      </c>
      <c r="BD712" s="103" t="str">
        <f t="shared" si="19"/>
        <v>AA</v>
      </c>
      <c r="BE712" s="103" t="str">
        <f t="shared" si="20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18"/>
        <v/>
      </c>
      <c r="BD713" s="103" t="str">
        <f t="shared" si="19"/>
        <v>AA</v>
      </c>
      <c r="BE713" s="103" t="str">
        <f t="shared" si="20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18"/>
        <v/>
      </c>
      <c r="BD714" s="103" t="str">
        <f t="shared" si="19"/>
        <v>AA</v>
      </c>
      <c r="BE714" s="103" t="str">
        <f t="shared" si="20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18"/>
        <v>131</v>
      </c>
      <c r="BD715" s="103" t="str">
        <f t="shared" si="19"/>
        <v>INDENIZAÇÃO</v>
      </c>
      <c r="BE715" s="103" t="str">
        <f t="shared" si="20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18"/>
        <v>78</v>
      </c>
      <c r="BD716" s="103" t="str">
        <f t="shared" si="19"/>
        <v>INDENIZAÇÃO</v>
      </c>
      <c r="BE716" s="103" t="str">
        <f t="shared" si="20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18"/>
        <v>94</v>
      </c>
      <c r="BD717" s="103" t="str">
        <f t="shared" si="19"/>
        <v>INDENIZAÇÃO</v>
      </c>
      <c r="BE717" s="103" t="str">
        <f t="shared" si="20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18"/>
        <v/>
      </c>
      <c r="BD718" s="103" t="str">
        <f t="shared" si="19"/>
        <v>AA</v>
      </c>
      <c r="BE718" s="103" t="str">
        <f t="shared" si="20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18"/>
        <v/>
      </c>
      <c r="BD719" s="103" t="str">
        <f t="shared" si="19"/>
        <v>AA</v>
      </c>
      <c r="BE719" s="103" t="str">
        <f t="shared" si="20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18"/>
        <v/>
      </c>
      <c r="BD720" s="103" t="str">
        <f t="shared" si="19"/>
        <v>AA</v>
      </c>
      <c r="BE720" s="103" t="str">
        <f t="shared" si="20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18"/>
        <v/>
      </c>
      <c r="BD721" s="103" t="str">
        <f t="shared" si="19"/>
        <v>AA</v>
      </c>
      <c r="BE721" s="103" t="str">
        <f t="shared" si="20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18"/>
        <v/>
      </c>
      <c r="BD722" s="103" t="str">
        <f t="shared" si="19"/>
        <v>AA</v>
      </c>
      <c r="BE722" s="103" t="str">
        <f t="shared" si="20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18"/>
        <v>96</v>
      </c>
      <c r="BD723" s="103" t="str">
        <f t="shared" si="19"/>
        <v>INDENIZAÇÃO</v>
      </c>
      <c r="BE723" s="103" t="str">
        <f t="shared" si="20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18"/>
        <v/>
      </c>
      <c r="BD724" s="103" t="str">
        <f t="shared" si="19"/>
        <v>AA</v>
      </c>
      <c r="BE724" s="103" t="str">
        <f t="shared" si="20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18"/>
        <v>81</v>
      </c>
      <c r="BD725" s="103" t="str">
        <f t="shared" si="19"/>
        <v>INDENIZAÇÃO</v>
      </c>
      <c r="BE725" s="103" t="str">
        <f t="shared" si="20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18"/>
        <v/>
      </c>
      <c r="BD726" s="103" t="str">
        <f t="shared" si="19"/>
        <v>AA</v>
      </c>
      <c r="BE726" s="103" t="str">
        <f t="shared" si="20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18"/>
        <v/>
      </c>
      <c r="BD727" s="103" t="str">
        <f t="shared" si="19"/>
        <v>AA</v>
      </c>
      <c r="BE727" s="103" t="str">
        <f t="shared" si="20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18"/>
        <v/>
      </c>
      <c r="BD728" s="103" t="str">
        <f t="shared" si="19"/>
        <v>AA</v>
      </c>
      <c r="BE728" s="103" t="str">
        <f t="shared" si="20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18"/>
        <v/>
      </c>
      <c r="BD729" s="103" t="str">
        <f t="shared" si="19"/>
        <v>AA</v>
      </c>
      <c r="BE729" s="103" t="str">
        <f t="shared" si="20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18"/>
        <v/>
      </c>
      <c r="BD730" s="103" t="str">
        <f t="shared" si="19"/>
        <v>AA</v>
      </c>
      <c r="BE730" s="103" t="str">
        <f t="shared" si="20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18"/>
        <v/>
      </c>
      <c r="BD731" s="103" t="str">
        <f t="shared" si="19"/>
        <v>AA</v>
      </c>
      <c r="BE731" s="103" t="str">
        <f t="shared" si="20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18"/>
        <v/>
      </c>
      <c r="BD732" s="103" t="str">
        <f t="shared" si="19"/>
        <v>AA</v>
      </c>
      <c r="BE732" s="103" t="str">
        <f t="shared" si="20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18"/>
        <v/>
      </c>
      <c r="BD733" s="103" t="str">
        <f t="shared" si="19"/>
        <v>AA</v>
      </c>
      <c r="BE733" s="103" t="str">
        <f t="shared" si="20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18"/>
        <v/>
      </c>
      <c r="BD734" s="103" t="str">
        <f t="shared" si="19"/>
        <v>AA</v>
      </c>
      <c r="BE734" s="103" t="str">
        <f t="shared" si="20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18"/>
        <v/>
      </c>
      <c r="BD735" s="103" t="str">
        <f t="shared" si="19"/>
        <v>AA</v>
      </c>
      <c r="BE735" s="103" t="str">
        <f t="shared" si="2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21">IF(AY736-KD736=0,"",AY736-O736)</f>
        <v/>
      </c>
      <c r="BD736" s="103" t="str">
        <f t="shared" ref="BD736:BD799" si="22">IF(AND(AI736&lt;&gt;"SIM",AI736="UH"),"AA","INDENIZAÇÃO")</f>
        <v>AA</v>
      </c>
      <c r="BE736" s="103" t="str">
        <f t="shared" ref="BE736:BE799" si="23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21"/>
        <v/>
      </c>
      <c r="BD737" s="103" t="str">
        <f t="shared" si="22"/>
        <v>AA</v>
      </c>
      <c r="BE737" s="103" t="str">
        <f t="shared" si="23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21"/>
        <v/>
      </c>
      <c r="BD738" s="103" t="str">
        <f t="shared" si="22"/>
        <v>AA</v>
      </c>
      <c r="BE738" s="103" t="str">
        <f t="shared" si="23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21"/>
        <v/>
      </c>
      <c r="BD739" s="103" t="str">
        <f t="shared" si="22"/>
        <v>AA</v>
      </c>
      <c r="BE739" s="103" t="str">
        <f t="shared" si="23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21"/>
        <v/>
      </c>
      <c r="BD740" s="103" t="str">
        <f t="shared" si="22"/>
        <v>AA</v>
      </c>
      <c r="BE740" s="103" t="str">
        <f t="shared" si="23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21"/>
        <v/>
      </c>
      <c r="BD741" s="103" t="str">
        <f t="shared" si="22"/>
        <v>AA</v>
      </c>
      <c r="BE741" s="103" t="str">
        <f t="shared" si="23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21"/>
        <v/>
      </c>
      <c r="BD742" s="103" t="str">
        <f t="shared" si="22"/>
        <v>AA</v>
      </c>
      <c r="BE742" s="103" t="str">
        <f t="shared" si="23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21"/>
        <v/>
      </c>
      <c r="BD743" s="103" t="str">
        <f t="shared" si="22"/>
        <v>AA</v>
      </c>
      <c r="BE743" s="103" t="str">
        <f t="shared" si="23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21"/>
        <v/>
      </c>
      <c r="BD744" s="103" t="str">
        <f t="shared" si="22"/>
        <v>AA</v>
      </c>
      <c r="BE744" s="103" t="str">
        <f t="shared" si="23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21"/>
        <v/>
      </c>
      <c r="BD745" s="103" t="str">
        <f t="shared" si="22"/>
        <v>AA</v>
      </c>
      <c r="BE745" s="103" t="str">
        <f t="shared" si="23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21"/>
        <v/>
      </c>
      <c r="BD746" s="103" t="str">
        <f t="shared" si="22"/>
        <v>AA</v>
      </c>
      <c r="BE746" s="103" t="str">
        <f t="shared" si="23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21"/>
        <v/>
      </c>
      <c r="BD747" s="103" t="str">
        <f t="shared" si="22"/>
        <v>AA</v>
      </c>
      <c r="BE747" s="103" t="str">
        <f t="shared" si="23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21"/>
        <v/>
      </c>
      <c r="BD748" s="103" t="str">
        <f t="shared" si="22"/>
        <v>AA</v>
      </c>
      <c r="BE748" s="103" t="str">
        <f t="shared" si="23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21"/>
        <v/>
      </c>
      <c r="BD749" s="103" t="str">
        <f t="shared" si="22"/>
        <v>AA</v>
      </c>
      <c r="BE749" s="103" t="str">
        <f t="shared" si="23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21"/>
        <v/>
      </c>
      <c r="BD750" s="103" t="str">
        <f t="shared" si="22"/>
        <v>AA</v>
      </c>
      <c r="BE750" s="103" t="str">
        <f t="shared" si="23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21"/>
        <v/>
      </c>
      <c r="BD751" s="103" t="str">
        <f t="shared" si="22"/>
        <v>AA</v>
      </c>
      <c r="BE751" s="103" t="str">
        <f t="shared" si="23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21"/>
        <v/>
      </c>
      <c r="BD752" s="103" t="str">
        <f t="shared" si="22"/>
        <v>AA</v>
      </c>
      <c r="BE752" s="103" t="str">
        <f t="shared" si="23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21"/>
        <v/>
      </c>
      <c r="BD753" s="103" t="str">
        <f t="shared" si="22"/>
        <v>AA</v>
      </c>
      <c r="BE753" s="103" t="str">
        <f t="shared" si="23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21"/>
        <v/>
      </c>
      <c r="BD754" s="103" t="str">
        <f t="shared" si="22"/>
        <v>AA</v>
      </c>
      <c r="BE754" s="103" t="str">
        <f t="shared" si="23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21"/>
        <v/>
      </c>
      <c r="BD755" s="103" t="str">
        <f t="shared" si="22"/>
        <v>AA</v>
      </c>
      <c r="BE755" s="103" t="str">
        <f t="shared" si="23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21"/>
        <v/>
      </c>
      <c r="BD756" s="103" t="str">
        <f t="shared" si="22"/>
        <v>AA</v>
      </c>
      <c r="BE756" s="103" t="str">
        <f t="shared" si="23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21"/>
        <v/>
      </c>
      <c r="BD757" s="103" t="str">
        <f t="shared" si="22"/>
        <v>AA</v>
      </c>
      <c r="BE757" s="103" t="str">
        <f t="shared" si="23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21"/>
        <v/>
      </c>
      <c r="BD758" s="103" t="str">
        <f t="shared" si="22"/>
        <v>AA</v>
      </c>
      <c r="BE758" s="103" t="str">
        <f t="shared" si="23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21"/>
        <v/>
      </c>
      <c r="BD759" s="103" t="str">
        <f t="shared" si="22"/>
        <v>AA</v>
      </c>
      <c r="BE759" s="103" t="str">
        <f t="shared" si="23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21"/>
        <v/>
      </c>
      <c r="BD760" s="103" t="str">
        <f t="shared" si="22"/>
        <v>AA</v>
      </c>
      <c r="BE760" s="103" t="str">
        <f t="shared" si="23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21"/>
        <v/>
      </c>
      <c r="BD761" s="103" t="str">
        <f t="shared" si="22"/>
        <v>AA</v>
      </c>
      <c r="BE761" s="103" t="str">
        <f t="shared" si="23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21"/>
        <v/>
      </c>
      <c r="BD762" s="103" t="str">
        <f t="shared" si="22"/>
        <v>AA</v>
      </c>
      <c r="BE762" s="103" t="str">
        <f t="shared" si="23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21"/>
        <v/>
      </c>
      <c r="BD763" s="103" t="str">
        <f t="shared" si="22"/>
        <v>AA</v>
      </c>
      <c r="BE763" s="103" t="str">
        <f t="shared" si="23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21"/>
        <v/>
      </c>
      <c r="BD764" s="103" t="str">
        <f t="shared" si="22"/>
        <v>AA</v>
      </c>
      <c r="BE764" s="103" t="str">
        <f t="shared" si="23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21"/>
        <v/>
      </c>
      <c r="BD765" s="103" t="str">
        <f t="shared" si="22"/>
        <v>AA</v>
      </c>
      <c r="BE765" s="103" t="str">
        <f t="shared" si="23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21"/>
        <v>81</v>
      </c>
      <c r="BD766" s="103" t="str">
        <f t="shared" si="22"/>
        <v>INDENIZAÇÃO</v>
      </c>
      <c r="BE766" s="103" t="str">
        <f t="shared" si="23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21"/>
        <v/>
      </c>
      <c r="BD767" s="103" t="str">
        <f t="shared" si="22"/>
        <v>AA</v>
      </c>
      <c r="BE767" s="103" t="str">
        <f t="shared" si="23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21"/>
        <v/>
      </c>
      <c r="BD768" s="103" t="str">
        <f t="shared" si="22"/>
        <v>AA</v>
      </c>
      <c r="BE768" s="103" t="str">
        <f t="shared" si="23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21"/>
        <v/>
      </c>
      <c r="BD769" s="103" t="str">
        <f t="shared" si="22"/>
        <v>AA</v>
      </c>
      <c r="BE769" s="103" t="str">
        <f t="shared" si="23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21"/>
        <v/>
      </c>
      <c r="BD770" s="103" t="str">
        <f t="shared" si="22"/>
        <v>AA</v>
      </c>
      <c r="BE770" s="103" t="str">
        <f t="shared" si="23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21"/>
        <v/>
      </c>
      <c r="BD771" s="103" t="str">
        <f t="shared" si="22"/>
        <v>AA</v>
      </c>
      <c r="BE771" s="103" t="str">
        <f t="shared" si="23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21"/>
        <v/>
      </c>
      <c r="BD772" s="103" t="str">
        <f t="shared" si="22"/>
        <v>AA</v>
      </c>
      <c r="BE772" s="103" t="str">
        <f t="shared" si="23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21"/>
        <v/>
      </c>
      <c r="BD773" s="103" t="str">
        <f t="shared" si="22"/>
        <v>AA</v>
      </c>
      <c r="BE773" s="103" t="str">
        <f t="shared" si="23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21"/>
        <v/>
      </c>
      <c r="BD774" s="103" t="str">
        <f t="shared" si="22"/>
        <v>AA</v>
      </c>
      <c r="BE774" s="103" t="str">
        <f t="shared" si="23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21"/>
        <v/>
      </c>
      <c r="BD775" s="103" t="str">
        <f t="shared" si="22"/>
        <v>AA</v>
      </c>
      <c r="BE775" s="103" t="str">
        <f t="shared" si="23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21"/>
        <v/>
      </c>
      <c r="BD776" s="103" t="str">
        <f t="shared" si="22"/>
        <v>AA</v>
      </c>
      <c r="BE776" s="103" t="str">
        <f t="shared" si="23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21"/>
        <v/>
      </c>
      <c r="BD777" s="103" t="str">
        <f t="shared" si="22"/>
        <v>AA</v>
      </c>
      <c r="BE777" s="103" t="str">
        <f t="shared" si="23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21"/>
        <v/>
      </c>
      <c r="BD778" s="103" t="str">
        <f t="shared" si="22"/>
        <v>AA</v>
      </c>
      <c r="BE778" s="103" t="str">
        <f t="shared" si="23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21"/>
        <v/>
      </c>
      <c r="BD779" s="103" t="str">
        <f t="shared" si="22"/>
        <v>AA</v>
      </c>
      <c r="BE779" s="103" t="str">
        <f t="shared" si="23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21"/>
        <v/>
      </c>
      <c r="BD780" s="103" t="str">
        <f t="shared" si="22"/>
        <v>AA</v>
      </c>
      <c r="BE780" s="103" t="str">
        <f t="shared" si="23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21"/>
        <v/>
      </c>
      <c r="BD781" s="103" t="str">
        <f t="shared" si="22"/>
        <v>AA</v>
      </c>
      <c r="BE781" s="103" t="str">
        <f t="shared" si="23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21"/>
        <v/>
      </c>
      <c r="BD782" s="103" t="str">
        <f t="shared" si="22"/>
        <v>AA</v>
      </c>
      <c r="BE782" s="103" t="str">
        <f t="shared" si="23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21"/>
        <v/>
      </c>
      <c r="BD783" s="103" t="str">
        <f t="shared" si="22"/>
        <v>AA</v>
      </c>
      <c r="BE783" s="103" t="str">
        <f t="shared" si="23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21"/>
        <v/>
      </c>
      <c r="BD784" s="103" t="str">
        <f t="shared" si="22"/>
        <v>AA</v>
      </c>
      <c r="BE784" s="103" t="str">
        <f t="shared" si="23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21"/>
        <v/>
      </c>
      <c r="BD785" s="103" t="str">
        <f t="shared" si="22"/>
        <v>AA</v>
      </c>
      <c r="BE785" s="103" t="str">
        <f t="shared" si="23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21"/>
        <v/>
      </c>
      <c r="BD786" s="103" t="str">
        <f t="shared" si="22"/>
        <v>AA</v>
      </c>
      <c r="BE786" s="103" t="str">
        <f t="shared" si="23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21"/>
        <v/>
      </c>
      <c r="BD787" s="103" t="str">
        <f t="shared" si="22"/>
        <v>AA</v>
      </c>
      <c r="BE787" s="103" t="str">
        <f t="shared" si="23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21"/>
        <v>147</v>
      </c>
      <c r="BD788" s="103" t="str">
        <f t="shared" si="22"/>
        <v>INDENIZAÇÃO</v>
      </c>
      <c r="BE788" s="103" t="str">
        <f t="shared" si="23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21"/>
        <v/>
      </c>
      <c r="BD789" s="103" t="str">
        <f t="shared" si="22"/>
        <v>AA</v>
      </c>
      <c r="BE789" s="103" t="str">
        <f t="shared" si="23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21"/>
        <v/>
      </c>
      <c r="BD790" s="103" t="str">
        <f t="shared" si="22"/>
        <v>AA</v>
      </c>
      <c r="BE790" s="103" t="str">
        <f t="shared" si="23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21"/>
        <v/>
      </c>
      <c r="BD791" s="103" t="str">
        <f t="shared" si="22"/>
        <v>AA</v>
      </c>
      <c r="BE791" s="103" t="str">
        <f t="shared" si="23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21"/>
        <v/>
      </c>
      <c r="BD792" s="103" t="str">
        <f t="shared" si="22"/>
        <v>AA</v>
      </c>
      <c r="BE792" s="103" t="str">
        <f t="shared" si="23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21"/>
        <v/>
      </c>
      <c r="BD793" s="103" t="str">
        <f t="shared" si="22"/>
        <v>AA</v>
      </c>
      <c r="BE793" s="103" t="str">
        <f t="shared" si="23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21"/>
        <v/>
      </c>
      <c r="BD794" s="103" t="str">
        <f t="shared" si="22"/>
        <v>AA</v>
      </c>
      <c r="BE794" s="103" t="str">
        <f t="shared" si="23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21"/>
        <v/>
      </c>
      <c r="BD795" s="103" t="str">
        <f t="shared" si="22"/>
        <v>AA</v>
      </c>
      <c r="BE795" s="103" t="str">
        <f t="shared" si="23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21"/>
        <v/>
      </c>
      <c r="BD796" s="103" t="str">
        <f t="shared" si="22"/>
        <v>AA</v>
      </c>
      <c r="BE796" s="103" t="str">
        <f t="shared" si="23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21"/>
        <v/>
      </c>
      <c r="BD797" s="103" t="str">
        <f t="shared" si="22"/>
        <v>AA</v>
      </c>
      <c r="BE797" s="103" t="str">
        <f t="shared" si="23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21"/>
        <v/>
      </c>
      <c r="BD798" s="103" t="str">
        <f t="shared" si="22"/>
        <v>AA</v>
      </c>
      <c r="BE798" s="103" t="str">
        <f t="shared" si="23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21"/>
        <v/>
      </c>
      <c r="BD799" s="103" t="str">
        <f t="shared" si="22"/>
        <v>AA</v>
      </c>
      <c r="BE799" s="103" t="str">
        <f t="shared" si="2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24">IF(AY800-KD800=0,"",AY800-O800)</f>
        <v/>
      </c>
      <c r="BD800" s="103" t="str">
        <f t="shared" ref="BD800:BD808" si="25">IF(AND(AI800&lt;&gt;"SIM",AI800="UH"),"AA","INDENIZAÇÃO")</f>
        <v>AA</v>
      </c>
      <c r="BE800" s="103" t="str">
        <f t="shared" ref="BE800:BE808" si="26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24"/>
        <v/>
      </c>
      <c r="BD801" s="103" t="str">
        <f t="shared" si="25"/>
        <v>AA</v>
      </c>
      <c r="BE801" s="103" t="str">
        <f t="shared" si="26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24"/>
        <v/>
      </c>
      <c r="BD802" s="103" t="str">
        <f t="shared" si="25"/>
        <v>AA</v>
      </c>
      <c r="BE802" s="103" t="str">
        <f t="shared" si="26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24"/>
        <v/>
      </c>
      <c r="BD803" s="103" t="str">
        <f t="shared" si="25"/>
        <v>AA</v>
      </c>
      <c r="BE803" s="103" t="str">
        <f t="shared" si="26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24"/>
        <v/>
      </c>
      <c r="BD804" s="103" t="str">
        <f t="shared" si="25"/>
        <v>AA</v>
      </c>
      <c r="BE804" s="103" t="str">
        <f t="shared" si="26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24"/>
        <v/>
      </c>
      <c r="BD805" s="103" t="str">
        <f t="shared" si="25"/>
        <v>AA</v>
      </c>
      <c r="BE805" s="103" t="str">
        <f t="shared" si="26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24"/>
        <v/>
      </c>
      <c r="BD806" s="103" t="str">
        <f t="shared" si="25"/>
        <v>AA</v>
      </c>
      <c r="BE806" s="103" t="str">
        <f t="shared" si="26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24"/>
        <v>#VALUE!</v>
      </c>
      <c r="BD807" s="103" t="str">
        <f t="shared" si="25"/>
        <v>INDENIZAÇÃO</v>
      </c>
      <c r="BE807" s="103" t="str">
        <f t="shared" si="26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24"/>
        <v>#VALUE!</v>
      </c>
      <c r="BD808" s="103" t="str">
        <f t="shared" si="25"/>
        <v>INDENIZAÇÃO</v>
      </c>
      <c r="BE808" s="103" t="str">
        <f t="shared" si="26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27">IF(AY809-KD809=0,"",AY809-O809)</f>
        <v/>
      </c>
      <c r="BD809" s="103" t="str">
        <f t="shared" ref="BD809:BD863" si="28">IF(AND(AI809&lt;&gt;"SIM",AI809="UH"),"AA","INDENIZAÇÃO")</f>
        <v>INDENIZAÇÃO</v>
      </c>
      <c r="BE809" s="103" t="str">
        <f t="shared" ref="BE809:BE863" si="29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27"/>
        <v/>
      </c>
      <c r="BD810" s="103" t="str">
        <f t="shared" si="28"/>
        <v>INDENIZAÇÃO</v>
      </c>
      <c r="BE810" s="103" t="str">
        <f t="shared" si="29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27"/>
        <v/>
      </c>
      <c r="BD811" s="103" t="str">
        <f t="shared" si="28"/>
        <v>INDENIZAÇÃO</v>
      </c>
      <c r="BE811" s="103" t="str">
        <f t="shared" si="29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27"/>
        <v/>
      </c>
      <c r="BD812" s="103" t="str">
        <f t="shared" si="28"/>
        <v>INDENIZAÇÃO</v>
      </c>
      <c r="BE812" s="103" t="str">
        <f t="shared" si="29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27"/>
        <v/>
      </c>
      <c r="BD813" s="103" t="str">
        <f t="shared" si="28"/>
        <v>INDENIZAÇÃO</v>
      </c>
      <c r="BE813" s="103" t="str">
        <f t="shared" si="29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27"/>
        <v/>
      </c>
      <c r="BD814" s="103" t="str">
        <f t="shared" si="28"/>
        <v>INDENIZAÇÃO</v>
      </c>
      <c r="BE814" s="103" t="str">
        <f t="shared" si="29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27"/>
        <v/>
      </c>
      <c r="BD815" s="103" t="str">
        <f t="shared" si="28"/>
        <v>INDENIZAÇÃO</v>
      </c>
      <c r="BE815" s="103" t="str">
        <f t="shared" si="29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27"/>
        <v/>
      </c>
      <c r="BD816" s="103" t="str">
        <f t="shared" si="28"/>
        <v>INDENIZAÇÃO</v>
      </c>
      <c r="BE816" s="103" t="str">
        <f t="shared" si="29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27"/>
        <v/>
      </c>
      <c r="BD817" s="103" t="str">
        <f t="shared" si="28"/>
        <v>INDENIZAÇÃO</v>
      </c>
      <c r="BE817" s="103" t="str">
        <f t="shared" si="29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27"/>
        <v/>
      </c>
      <c r="BD818" s="103" t="str">
        <f t="shared" si="28"/>
        <v>INDENIZAÇÃO</v>
      </c>
      <c r="BE818" s="103" t="str">
        <f t="shared" si="29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27"/>
        <v/>
      </c>
      <c r="BD819" s="103" t="str">
        <f t="shared" si="28"/>
        <v>INDENIZAÇÃO</v>
      </c>
      <c r="BE819" s="103" t="str">
        <f t="shared" si="29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27"/>
        <v/>
      </c>
      <c r="BD820" s="103" t="str">
        <f t="shared" si="28"/>
        <v>INDENIZAÇÃO</v>
      </c>
      <c r="BE820" s="103" t="str">
        <f t="shared" si="29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27"/>
        <v/>
      </c>
      <c r="BD821" s="103" t="str">
        <f t="shared" si="28"/>
        <v>INDENIZAÇÃO</v>
      </c>
      <c r="BE821" s="103" t="str">
        <f t="shared" si="29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27"/>
        <v/>
      </c>
      <c r="BD822" s="103" t="str">
        <f t="shared" si="28"/>
        <v>INDENIZAÇÃO</v>
      </c>
      <c r="BE822" s="103" t="str">
        <f t="shared" si="29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27"/>
        <v/>
      </c>
      <c r="BD823" s="103" t="str">
        <f t="shared" si="28"/>
        <v>INDENIZAÇÃO</v>
      </c>
      <c r="BE823" s="103" t="str">
        <f t="shared" si="29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27"/>
        <v/>
      </c>
      <c r="BD824" s="103" t="str">
        <f t="shared" si="28"/>
        <v>INDENIZAÇÃO</v>
      </c>
      <c r="BE824" s="103" t="str">
        <f t="shared" si="29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27"/>
        <v/>
      </c>
      <c r="BD825" s="103" t="str">
        <f t="shared" si="28"/>
        <v>INDENIZAÇÃO</v>
      </c>
      <c r="BE825" s="103" t="str">
        <f t="shared" si="29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27"/>
        <v/>
      </c>
      <c r="BD826" s="103" t="str">
        <f t="shared" si="28"/>
        <v>INDENIZAÇÃO</v>
      </c>
      <c r="BE826" s="103" t="str">
        <f t="shared" si="29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27"/>
        <v/>
      </c>
      <c r="BD827" s="103" t="str">
        <f t="shared" si="28"/>
        <v>INDENIZAÇÃO</v>
      </c>
      <c r="BE827" s="103" t="str">
        <f t="shared" si="29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27"/>
        <v/>
      </c>
      <c r="BD828" s="103" t="str">
        <f t="shared" si="28"/>
        <v>INDENIZAÇÃO</v>
      </c>
      <c r="BE828" s="103" t="str">
        <f t="shared" si="29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27"/>
        <v/>
      </c>
      <c r="BD829" s="103" t="str">
        <f t="shared" si="28"/>
        <v>INDENIZAÇÃO</v>
      </c>
      <c r="BE829" s="103" t="str">
        <f t="shared" si="29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27"/>
        <v/>
      </c>
      <c r="BD830" s="103" t="str">
        <f t="shared" si="28"/>
        <v>INDENIZAÇÃO</v>
      </c>
      <c r="BE830" s="103" t="str">
        <f t="shared" si="29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27"/>
        <v/>
      </c>
      <c r="BD831" s="103" t="str">
        <f t="shared" si="28"/>
        <v>INDENIZAÇÃO</v>
      </c>
      <c r="BE831" s="103" t="str">
        <f t="shared" si="29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27"/>
        <v/>
      </c>
      <c r="BD832" s="103" t="str">
        <f t="shared" si="28"/>
        <v>INDENIZAÇÃO</v>
      </c>
      <c r="BE832" s="103" t="str">
        <f t="shared" si="29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27"/>
        <v/>
      </c>
      <c r="BD833" s="103" t="str">
        <f t="shared" si="28"/>
        <v>INDENIZAÇÃO</v>
      </c>
      <c r="BE833" s="103" t="str">
        <f t="shared" si="29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27"/>
        <v/>
      </c>
      <c r="BD834" s="103" t="str">
        <f t="shared" si="28"/>
        <v>INDENIZAÇÃO</v>
      </c>
      <c r="BE834" s="103" t="str">
        <f t="shared" si="29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27"/>
        <v/>
      </c>
      <c r="BD835" s="103" t="str">
        <f t="shared" si="28"/>
        <v>INDENIZAÇÃO</v>
      </c>
      <c r="BE835" s="103" t="str">
        <f t="shared" si="29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27"/>
        <v/>
      </c>
      <c r="BD836" s="103" t="str">
        <f t="shared" si="28"/>
        <v>INDENIZAÇÃO</v>
      </c>
      <c r="BE836" s="103" t="str">
        <f t="shared" si="29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27"/>
        <v/>
      </c>
      <c r="BD837" s="103" t="str">
        <f t="shared" si="28"/>
        <v>INDENIZAÇÃO</v>
      </c>
      <c r="BE837" s="103" t="str">
        <f t="shared" si="29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27"/>
        <v/>
      </c>
      <c r="BD838" s="103" t="str">
        <f t="shared" si="28"/>
        <v>INDENIZAÇÃO</v>
      </c>
      <c r="BE838" s="103" t="str">
        <f t="shared" si="29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27"/>
        <v/>
      </c>
      <c r="BD839" s="103" t="str">
        <f t="shared" si="28"/>
        <v>INDENIZAÇÃO</v>
      </c>
      <c r="BE839" s="103" t="str">
        <f t="shared" si="29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27"/>
        <v/>
      </c>
      <c r="BD840" s="103" t="str">
        <f t="shared" si="28"/>
        <v>INDENIZAÇÃO</v>
      </c>
      <c r="BE840" s="103" t="str">
        <f t="shared" si="29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27"/>
        <v/>
      </c>
      <c r="BD841" s="103" t="str">
        <f t="shared" si="28"/>
        <v>INDENIZAÇÃO</v>
      </c>
      <c r="BE841" s="103" t="str">
        <f t="shared" si="29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27"/>
        <v/>
      </c>
      <c r="BD842" s="103" t="str">
        <f t="shared" si="28"/>
        <v>INDENIZAÇÃO</v>
      </c>
      <c r="BE842" s="103" t="str">
        <f t="shared" si="29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27"/>
        <v/>
      </c>
      <c r="BD843" s="103" t="str">
        <f t="shared" si="28"/>
        <v>INDENIZAÇÃO</v>
      </c>
      <c r="BE843" s="103" t="str">
        <f t="shared" si="29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27"/>
        <v/>
      </c>
      <c r="BD844" s="103" t="str">
        <f t="shared" si="28"/>
        <v>INDENIZAÇÃO</v>
      </c>
      <c r="BE844" s="103" t="str">
        <f t="shared" si="29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27"/>
        <v/>
      </c>
      <c r="BD845" s="103" t="str">
        <f t="shared" si="28"/>
        <v>INDENIZAÇÃO</v>
      </c>
      <c r="BE845" s="103" t="str">
        <f t="shared" si="29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27"/>
        <v/>
      </c>
      <c r="BD846" s="103" t="str">
        <f t="shared" si="28"/>
        <v>INDENIZAÇÃO</v>
      </c>
      <c r="BE846" s="103" t="str">
        <f t="shared" si="29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27"/>
        <v/>
      </c>
      <c r="BD847" s="103" t="str">
        <f t="shared" si="28"/>
        <v>INDENIZAÇÃO</v>
      </c>
      <c r="BE847" s="103" t="str">
        <f t="shared" si="29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27"/>
        <v/>
      </c>
      <c r="BD848" s="103" t="str">
        <f t="shared" si="28"/>
        <v>INDENIZAÇÃO</v>
      </c>
      <c r="BE848" s="103" t="str">
        <f t="shared" si="29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27"/>
        <v/>
      </c>
      <c r="BD849" s="103" t="str">
        <f t="shared" si="28"/>
        <v>INDENIZAÇÃO</v>
      </c>
      <c r="BE849" s="103" t="str">
        <f t="shared" si="29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27"/>
        <v/>
      </c>
      <c r="BD850" s="103" t="str">
        <f t="shared" si="28"/>
        <v>INDENIZAÇÃO</v>
      </c>
      <c r="BE850" s="103" t="str">
        <f t="shared" si="29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27"/>
        <v/>
      </c>
      <c r="BD851" s="103" t="str">
        <f t="shared" si="28"/>
        <v>INDENIZAÇÃO</v>
      </c>
      <c r="BE851" s="103" t="str">
        <f t="shared" si="29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27"/>
        <v/>
      </c>
      <c r="BD852" s="103" t="str">
        <f t="shared" si="28"/>
        <v>INDENIZAÇÃO</v>
      </c>
      <c r="BE852" s="103" t="str">
        <f t="shared" si="29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27"/>
        <v/>
      </c>
      <c r="BD853" s="103" t="str">
        <f t="shared" si="28"/>
        <v>INDENIZAÇÃO</v>
      </c>
      <c r="BE853" s="103" t="str">
        <f t="shared" si="29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27"/>
        <v/>
      </c>
      <c r="BD854" s="103" t="str">
        <f t="shared" si="28"/>
        <v>INDENIZAÇÃO</v>
      </c>
      <c r="BE854" s="103" t="str">
        <f t="shared" si="29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27"/>
        <v/>
      </c>
      <c r="BD855" s="103" t="str">
        <f t="shared" si="28"/>
        <v>INDENIZAÇÃO</v>
      </c>
      <c r="BE855" s="103" t="str">
        <f t="shared" si="29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27"/>
        <v/>
      </c>
      <c r="BD856" s="103" t="str">
        <f t="shared" si="28"/>
        <v>INDENIZAÇÃO</v>
      </c>
      <c r="BE856" s="103" t="str">
        <f t="shared" si="29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27"/>
        <v/>
      </c>
      <c r="BD857" s="103" t="str">
        <f t="shared" si="28"/>
        <v>INDENIZAÇÃO</v>
      </c>
      <c r="BE857" s="103" t="str">
        <f t="shared" si="29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27"/>
        <v/>
      </c>
      <c r="BD858" s="103" t="str">
        <f t="shared" si="28"/>
        <v>INDENIZAÇÃO</v>
      </c>
      <c r="BE858" s="103" t="str">
        <f t="shared" si="29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27"/>
        <v/>
      </c>
      <c r="BD859" s="103" t="str">
        <f t="shared" si="28"/>
        <v>INDENIZAÇÃO</v>
      </c>
      <c r="BE859" s="103" t="str">
        <f t="shared" si="29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27"/>
        <v/>
      </c>
      <c r="BD860" s="103" t="str">
        <f t="shared" si="28"/>
        <v>INDENIZAÇÃO</v>
      </c>
      <c r="BE860" s="103" t="str">
        <f t="shared" si="29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27"/>
        <v/>
      </c>
      <c r="BD861" s="103" t="str">
        <f t="shared" si="28"/>
        <v>INDENIZAÇÃO</v>
      </c>
      <c r="BE861" s="103" t="str">
        <f t="shared" si="29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27"/>
        <v/>
      </c>
      <c r="BD862" s="103" t="str">
        <f t="shared" si="28"/>
        <v>INDENIZAÇÃO</v>
      </c>
      <c r="BE862" s="103" t="str">
        <f t="shared" si="29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27"/>
        <v/>
      </c>
      <c r="BD863" s="103" t="str">
        <f t="shared" si="28"/>
        <v>INDENIZAÇÃO</v>
      </c>
      <c r="BE863" s="103" t="str">
        <f t="shared" si="29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30">IF(AY864-KD864=0,"",AY864-O864)</f>
        <v/>
      </c>
      <c r="BD864" s="103" t="str">
        <f t="shared" ref="BD864:BD869" si="31">IF(AND(AI864&lt;&gt;"SIM",AI864="UH"),"AA","INDENIZAÇÃO")</f>
        <v>INDENIZAÇÃO</v>
      </c>
      <c r="BE864" s="103" t="str">
        <f t="shared" ref="BE864:BE869" si="32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30"/>
        <v/>
      </c>
      <c r="BD865" s="103" t="str">
        <f t="shared" si="31"/>
        <v>INDENIZAÇÃO</v>
      </c>
      <c r="BE865" s="103" t="str">
        <f t="shared" si="32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30"/>
        <v/>
      </c>
      <c r="BD866" s="103" t="str">
        <f t="shared" si="31"/>
        <v>INDENIZAÇÃO</v>
      </c>
      <c r="BE866" s="103" t="str">
        <f t="shared" si="32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30"/>
        <v/>
      </c>
      <c r="BD867" s="103" t="str">
        <f t="shared" si="31"/>
        <v>INDENIZAÇÃO</v>
      </c>
      <c r="BE867" s="103" t="str">
        <f t="shared" si="32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30"/>
        <v/>
      </c>
      <c r="BD868" s="103" t="str">
        <f t="shared" si="31"/>
        <v>INDENIZAÇÃO</v>
      </c>
      <c r="BE868" s="103" t="str">
        <f t="shared" si="32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30"/>
        <v/>
      </c>
      <c r="BD869" s="103" t="str">
        <f t="shared" si="31"/>
        <v>INDENIZAÇÃO</v>
      </c>
      <c r="BE869" s="103" t="str">
        <f t="shared" si="32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3">
      <filters>
        <filter val="FINALIZADO"/>
      </filters>
    </filterColumn>
    <filterColumn colId="44">
      <filters>
        <filter val="AGUARDANDO CG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6" priority="1597"/>
    <cfRule type="duplicateValues" dxfId="285" priority="1601"/>
  </conditionalFormatting>
  <conditionalFormatting sqref="F875:F1048576 F1:F9 F716:F873">
    <cfRule type="duplicateValues" dxfId="284" priority="1607"/>
  </conditionalFormatting>
  <conditionalFormatting sqref="F875:F1048576 F1:F873">
    <cfRule type="duplicateValues" dxfId="283" priority="1187"/>
  </conditionalFormatting>
  <conditionalFormatting sqref="F875:F1048576 F716:F873">
    <cfRule type="duplicateValues" dxfId="282" priority="1605"/>
  </conditionalFormatting>
  <conditionalFormatting sqref="I695:I696">
    <cfRule type="containsText" dxfId="281" priority="340" operator="containsText" text="NÃO RESIDENTE">
      <formula>NOT(ISERROR(SEARCH("NÃO RESIDENTE",I695)))</formula>
    </cfRule>
  </conditionalFormatting>
  <conditionalFormatting sqref="J20">
    <cfRule type="duplicateValues" dxfId="280" priority="627"/>
  </conditionalFormatting>
  <conditionalFormatting sqref="J231:J232 J167">
    <cfRule type="duplicateValues" dxfId="279" priority="741"/>
  </conditionalFormatting>
  <conditionalFormatting sqref="J796:J808">
    <cfRule type="duplicateValues" dxfId="278" priority="3084"/>
  </conditionalFormatting>
  <conditionalFormatting sqref="J875:J1048576 J765 J570:J582 J1:J7 J9 J792:J793 J809:J873">
    <cfRule type="duplicateValues" dxfId="277" priority="1610"/>
  </conditionalFormatting>
  <conditionalFormatting sqref="J771:K773">
    <cfRule type="duplicateValues" dxfId="276" priority="345"/>
  </conditionalFormatting>
  <conditionalFormatting sqref="J766:L767">
    <cfRule type="duplicateValues" dxfId="275" priority="359"/>
  </conditionalFormatting>
  <conditionalFormatting sqref="J768:L768 J770:L770 J769 L769">
    <cfRule type="duplicateValues" dxfId="274" priority="353"/>
  </conditionalFormatting>
  <conditionalFormatting sqref="J794:L794">
    <cfRule type="duplicateValues" dxfId="273" priority="338"/>
  </conditionalFormatting>
  <conditionalFormatting sqref="J795:L795">
    <cfRule type="duplicateValues" dxfId="272" priority="337"/>
  </conditionalFormatting>
  <conditionalFormatting sqref="K769">
    <cfRule type="duplicateValues" dxfId="271" priority="350"/>
  </conditionalFormatting>
  <conditionalFormatting sqref="K792:L793">
    <cfRule type="duplicateValues" dxfId="270" priority="339"/>
  </conditionalFormatting>
  <conditionalFormatting sqref="K796:L796">
    <cfRule type="duplicateValues" dxfId="269" priority="335"/>
  </conditionalFormatting>
  <conditionalFormatting sqref="K797:L797">
    <cfRule type="duplicateValues" dxfId="268" priority="334"/>
  </conditionalFormatting>
  <conditionalFormatting sqref="K798:L798">
    <cfRule type="duplicateValues" dxfId="267" priority="333"/>
  </conditionalFormatting>
  <conditionalFormatting sqref="K799:L799">
    <cfRule type="duplicateValues" dxfId="266" priority="332"/>
  </conditionalFormatting>
  <conditionalFormatting sqref="K800:L800">
    <cfRule type="duplicateValues" dxfId="265" priority="331"/>
  </conditionalFormatting>
  <conditionalFormatting sqref="K801:L801">
    <cfRule type="duplicateValues" dxfId="264" priority="330"/>
  </conditionalFormatting>
  <conditionalFormatting sqref="K802:L802">
    <cfRule type="duplicateValues" dxfId="263" priority="329"/>
  </conditionalFormatting>
  <conditionalFormatting sqref="K803:L803">
    <cfRule type="duplicateValues" dxfId="262" priority="328"/>
  </conditionalFormatting>
  <conditionalFormatting sqref="K804:L804">
    <cfRule type="duplicateValues" dxfId="261" priority="327"/>
  </conditionalFormatting>
  <conditionalFormatting sqref="K805:L805">
    <cfRule type="duplicateValues" dxfId="260" priority="326"/>
  </conditionalFormatting>
  <conditionalFormatting sqref="K806:L806">
    <cfRule type="duplicateValues" dxfId="259" priority="325"/>
  </conditionalFormatting>
  <conditionalFormatting sqref="K807:L807">
    <cfRule type="duplicateValues" dxfId="258" priority="323"/>
  </conditionalFormatting>
  <conditionalFormatting sqref="K808:L808">
    <cfRule type="duplicateValues" dxfId="257" priority="322"/>
  </conditionalFormatting>
  <conditionalFormatting sqref="L20">
    <cfRule type="duplicateValues" dxfId="256" priority="626"/>
  </conditionalFormatting>
  <conditionalFormatting sqref="L395">
    <cfRule type="duplicateValues" dxfId="255" priority="184"/>
    <cfRule type="duplicateValues" dxfId="254" priority="183"/>
  </conditionalFormatting>
  <conditionalFormatting sqref="L499">
    <cfRule type="duplicateValues" dxfId="253" priority="181"/>
    <cfRule type="duplicateValues" dxfId="252" priority="182"/>
  </conditionalFormatting>
  <conditionalFormatting sqref="L771:L773">
    <cfRule type="duplicateValues" dxfId="251" priority="344"/>
  </conditionalFormatting>
  <conditionalFormatting sqref="AB20">
    <cfRule type="duplicateValues" dxfId="250" priority="171"/>
  </conditionalFormatting>
  <conditionalFormatting sqref="AB167">
    <cfRule type="duplicateValues" dxfId="249" priority="163"/>
  </conditionalFormatting>
  <conditionalFormatting sqref="AB570">
    <cfRule type="duplicateValues" dxfId="248" priority="153"/>
  </conditionalFormatting>
  <conditionalFormatting sqref="AB572">
    <cfRule type="duplicateValues" dxfId="247" priority="152"/>
  </conditionalFormatting>
  <conditionalFormatting sqref="AB573">
    <cfRule type="duplicateValues" dxfId="246" priority="151"/>
  </conditionalFormatting>
  <conditionalFormatting sqref="AB574">
    <cfRule type="duplicateValues" dxfId="245" priority="231"/>
  </conditionalFormatting>
  <conditionalFormatting sqref="AB575">
    <cfRule type="duplicateValues" dxfId="244" priority="1"/>
  </conditionalFormatting>
  <conditionalFormatting sqref="AB576:AB577">
    <cfRule type="duplicateValues" dxfId="243" priority="150"/>
  </conditionalFormatting>
  <conditionalFormatting sqref="AB578">
    <cfRule type="duplicateValues" dxfId="242" priority="149"/>
  </conditionalFormatting>
  <conditionalFormatting sqref="AB579">
    <cfRule type="duplicateValues" dxfId="241" priority="148"/>
  </conditionalFormatting>
  <conditionalFormatting sqref="AB581:AB582">
    <cfRule type="duplicateValues" dxfId="240" priority="147"/>
  </conditionalFormatting>
  <conditionalFormatting sqref="AB765">
    <cfRule type="duplicateValues" dxfId="239" priority="146"/>
  </conditionalFormatting>
  <conditionalFormatting sqref="AB767">
    <cfRule type="duplicateValues" dxfId="238" priority="145"/>
  </conditionalFormatting>
  <conditionalFormatting sqref="AB768:AB770">
    <cfRule type="duplicateValues" dxfId="237" priority="144"/>
  </conditionalFormatting>
  <conditionalFormatting sqref="AB771">
    <cfRule type="duplicateValues" dxfId="236" priority="143"/>
  </conditionalFormatting>
  <conditionalFormatting sqref="AB772:AB773">
    <cfRule type="duplicateValues" dxfId="235" priority="137"/>
  </conditionalFormatting>
  <conditionalFormatting sqref="AB792:AB793">
    <cfRule type="duplicateValues" dxfId="234" priority="134"/>
  </conditionalFormatting>
  <conditionalFormatting sqref="AB794">
    <cfRule type="duplicateValues" dxfId="233" priority="133"/>
  </conditionalFormatting>
  <conditionalFormatting sqref="AB795">
    <cfRule type="duplicateValues" dxfId="232" priority="129"/>
  </conditionalFormatting>
  <conditionalFormatting sqref="AB796:AB800">
    <cfRule type="duplicateValues" dxfId="231" priority="130"/>
  </conditionalFormatting>
  <conditionalFormatting sqref="AB801:AB806">
    <cfRule type="duplicateValues" dxfId="230" priority="122"/>
  </conditionalFormatting>
  <conditionalFormatting sqref="AC769">
    <cfRule type="duplicateValues" dxfId="229" priority="140"/>
  </conditionalFormatting>
  <conditionalFormatting sqref="AC771">
    <cfRule type="duplicateValues" dxfId="228" priority="139"/>
  </conditionalFormatting>
  <conditionalFormatting sqref="AC772:AC773">
    <cfRule type="duplicateValues" dxfId="227" priority="136"/>
  </conditionalFormatting>
  <conditionalFormatting sqref="AC767:AD767">
    <cfRule type="duplicateValues" dxfId="226" priority="142"/>
  </conditionalFormatting>
  <conditionalFormatting sqref="AC768:AD768 AC770:AD770 AD769">
    <cfRule type="duplicateValues" dxfId="225" priority="141"/>
  </conditionalFormatting>
  <conditionalFormatting sqref="AC792:AD793">
    <cfRule type="duplicateValues" dxfId="224" priority="132"/>
  </conditionalFormatting>
  <conditionalFormatting sqref="AC794:AD794">
    <cfRule type="duplicateValues" dxfId="223" priority="131"/>
  </conditionalFormatting>
  <conditionalFormatting sqref="AC795:AD795">
    <cfRule type="duplicateValues" dxfId="222" priority="128"/>
  </conditionalFormatting>
  <conditionalFormatting sqref="AC796:AD796">
    <cfRule type="duplicateValues" dxfId="221" priority="127"/>
  </conditionalFormatting>
  <conditionalFormatting sqref="AC797:AD797">
    <cfRule type="duplicateValues" dxfId="220" priority="126"/>
  </conditionalFormatting>
  <conditionalFormatting sqref="AC798:AD798">
    <cfRule type="duplicateValues" dxfId="219" priority="125"/>
  </conditionalFormatting>
  <conditionalFormatting sqref="AC799:AD799">
    <cfRule type="duplicateValues" dxfId="218" priority="124"/>
  </conditionalFormatting>
  <conditionalFormatting sqref="AC800:AD800">
    <cfRule type="duplicateValues" dxfId="217" priority="123"/>
  </conditionalFormatting>
  <conditionalFormatting sqref="AC801:AD801">
    <cfRule type="duplicateValues" dxfId="216" priority="121"/>
  </conditionalFormatting>
  <conditionalFormatting sqref="AC802:AD802">
    <cfRule type="duplicateValues" dxfId="215" priority="120"/>
  </conditionalFormatting>
  <conditionalFormatting sqref="AC803:AD803">
    <cfRule type="duplicateValues" dxfId="214" priority="119"/>
  </conditionalFormatting>
  <conditionalFormatting sqref="AC804:AD804">
    <cfRule type="duplicateValues" dxfId="213" priority="118"/>
  </conditionalFormatting>
  <conditionalFormatting sqref="AC805:AD805">
    <cfRule type="duplicateValues" dxfId="212" priority="117"/>
  </conditionalFormatting>
  <conditionalFormatting sqref="AC806:AD806">
    <cfRule type="duplicateValues" dxfId="211" priority="116"/>
  </conditionalFormatting>
  <conditionalFormatting sqref="AC875:AD1048576 AC1:AD9 AC807:AD873">
    <cfRule type="duplicateValues" dxfId="210" priority="1186"/>
  </conditionalFormatting>
  <conditionalFormatting sqref="AD20">
    <cfRule type="duplicateValues" dxfId="209" priority="170"/>
  </conditionalFormatting>
  <conditionalFormatting sqref="AD167">
    <cfRule type="duplicateValues" dxfId="208" priority="162"/>
  </conditionalFormatting>
  <conditionalFormatting sqref="AD499">
    <cfRule type="duplicateValues" dxfId="207" priority="155"/>
    <cfRule type="duplicateValues" dxfId="206" priority="154"/>
  </conditionalFormatting>
  <conditionalFormatting sqref="AD771">
    <cfRule type="duplicateValues" dxfId="205" priority="138"/>
  </conditionalFormatting>
  <conditionalFormatting sqref="AD772:AD773">
    <cfRule type="duplicateValues" dxfId="204" priority="135"/>
  </conditionalFormatting>
  <conditionalFormatting sqref="AD875:AD1048576 L167 AD1:AD9 AD807:AD873">
    <cfRule type="duplicateValues" dxfId="203" priority="740"/>
  </conditionalFormatting>
  <conditionalFormatting sqref="AE1:AF8 AE9 AE807:AF873 AE875:AF1048576">
    <cfRule type="containsText" dxfId="202" priority="1316" operator="containsText" text="NÃO RESIDENTE">
      <formula>NOT(ISERROR(SEARCH("NÃO RESIDENTE",AE1)))</formula>
    </cfRule>
  </conditionalFormatting>
  <conditionalFormatting sqref="AG8:AI8">
    <cfRule type="containsText" dxfId="201" priority="560" operator="containsText" text="NÃO RESIDENTE">
      <formula>NOT(ISERROR(SEARCH("NÃO RESIDENTE",AG8)))</formula>
    </cfRule>
  </conditionalFormatting>
  <conditionalFormatting sqref="AP10">
    <cfRule type="duplicateValues" dxfId="200" priority="746"/>
  </conditionalFormatting>
  <conditionalFormatting sqref="AP11">
    <cfRule type="duplicateValues" dxfId="199" priority="747"/>
  </conditionalFormatting>
  <conditionalFormatting sqref="AP12:AP137">
    <cfRule type="duplicateValues" dxfId="198" priority="1253"/>
  </conditionalFormatting>
  <conditionalFormatting sqref="AP14">
    <cfRule type="duplicateValues" dxfId="197" priority="435"/>
  </conditionalFormatting>
  <conditionalFormatting sqref="AP20">
    <cfRule type="duplicateValues" dxfId="196" priority="604"/>
  </conditionalFormatting>
  <conditionalFormatting sqref="AP22">
    <cfRule type="duplicateValues" dxfId="195" priority="419"/>
  </conditionalFormatting>
  <conditionalFormatting sqref="AP25">
    <cfRule type="duplicateValues" dxfId="194" priority="418"/>
  </conditionalFormatting>
  <conditionalFormatting sqref="AP30">
    <cfRule type="duplicateValues" dxfId="193" priority="603"/>
  </conditionalFormatting>
  <conditionalFormatting sqref="AP35:AP36">
    <cfRule type="duplicateValues" dxfId="192" priority="629"/>
  </conditionalFormatting>
  <conditionalFormatting sqref="AP37">
    <cfRule type="duplicateValues" dxfId="191" priority="602"/>
  </conditionalFormatting>
  <conditionalFormatting sqref="AP39">
    <cfRule type="duplicateValues" dxfId="190" priority="417"/>
  </conditionalFormatting>
  <conditionalFormatting sqref="AP42">
    <cfRule type="duplicateValues" dxfId="189" priority="600"/>
  </conditionalFormatting>
  <conditionalFormatting sqref="AP44">
    <cfRule type="duplicateValues" dxfId="188" priority="450"/>
  </conditionalFormatting>
  <conditionalFormatting sqref="AP49">
    <cfRule type="duplicateValues" dxfId="187" priority="303"/>
  </conditionalFormatting>
  <conditionalFormatting sqref="AP53">
    <cfRule type="duplicateValues" dxfId="186" priority="415"/>
  </conditionalFormatting>
  <conditionalFormatting sqref="AP61:AP62">
    <cfRule type="duplicateValues" dxfId="185" priority="1237"/>
  </conditionalFormatting>
  <conditionalFormatting sqref="AP63">
    <cfRule type="duplicateValues" dxfId="184" priority="1232"/>
  </conditionalFormatting>
  <conditionalFormatting sqref="AP64">
    <cfRule type="duplicateValues" dxfId="183" priority="1252"/>
  </conditionalFormatting>
  <conditionalFormatting sqref="AP66">
    <cfRule type="duplicateValues" dxfId="182" priority="640"/>
  </conditionalFormatting>
  <conditionalFormatting sqref="AP68:AP69">
    <cfRule type="duplicateValues" dxfId="181" priority="1251"/>
  </conditionalFormatting>
  <conditionalFormatting sqref="AP70">
    <cfRule type="duplicateValues" dxfId="180" priority="414"/>
  </conditionalFormatting>
  <conditionalFormatting sqref="AP72">
    <cfRule type="duplicateValues" dxfId="179" priority="638"/>
  </conditionalFormatting>
  <conditionalFormatting sqref="AP74">
    <cfRule type="duplicateValues" dxfId="178" priority="1200"/>
  </conditionalFormatting>
  <conditionalFormatting sqref="AP74:AP77">
    <cfRule type="duplicateValues" dxfId="177" priority="1236"/>
  </conditionalFormatting>
  <conditionalFormatting sqref="AP75">
    <cfRule type="duplicateValues" dxfId="176" priority="1201"/>
  </conditionalFormatting>
  <conditionalFormatting sqref="AP76">
    <cfRule type="duplicateValues" dxfId="175" priority="1202"/>
  </conditionalFormatting>
  <conditionalFormatting sqref="AP83">
    <cfRule type="duplicateValues" dxfId="174" priority="639"/>
  </conditionalFormatting>
  <conditionalFormatting sqref="AP84:AP100 AP102">
    <cfRule type="duplicateValues" dxfId="173" priority="1788"/>
  </conditionalFormatting>
  <conditionalFormatting sqref="AP101">
    <cfRule type="duplicateValues" dxfId="172" priority="3"/>
  </conditionalFormatting>
  <conditionalFormatting sqref="AP103">
    <cfRule type="duplicateValues" dxfId="171" priority="413"/>
  </conditionalFormatting>
  <conditionalFormatting sqref="AP104">
    <cfRule type="duplicateValues" dxfId="170" priority="745"/>
  </conditionalFormatting>
  <conditionalFormatting sqref="AP106">
    <cfRule type="duplicateValues" dxfId="169" priority="628"/>
  </conditionalFormatting>
  <conditionalFormatting sqref="AP107">
    <cfRule type="duplicateValues" dxfId="168" priority="412"/>
  </conditionalFormatting>
  <conditionalFormatting sqref="AP109">
    <cfRule type="duplicateValues" dxfId="167" priority="599"/>
  </conditionalFormatting>
  <conditionalFormatting sqref="AP110">
    <cfRule type="duplicateValues" dxfId="166" priority="631"/>
  </conditionalFormatting>
  <conditionalFormatting sqref="AP111">
    <cfRule type="duplicateValues" dxfId="165" priority="598"/>
  </conditionalFormatting>
  <conditionalFormatting sqref="AP113">
    <cfRule type="duplicateValues" dxfId="164" priority="1250"/>
  </conditionalFormatting>
  <conditionalFormatting sqref="AP114">
    <cfRule type="duplicateValues" dxfId="163" priority="597"/>
  </conditionalFormatting>
  <conditionalFormatting sqref="AP115:AP116">
    <cfRule type="duplicateValues" dxfId="162" priority="411"/>
  </conditionalFormatting>
  <conditionalFormatting sqref="AP118">
    <cfRule type="duplicateValues" dxfId="161" priority="410"/>
  </conditionalFormatting>
  <conditionalFormatting sqref="AP119">
    <cfRule type="duplicateValues" dxfId="160" priority="595"/>
    <cfRule type="duplicateValues" dxfId="159" priority="449"/>
  </conditionalFormatting>
  <conditionalFormatting sqref="AP120">
    <cfRule type="duplicateValues" dxfId="158" priority="14"/>
  </conditionalFormatting>
  <conditionalFormatting sqref="AP121:AP125">
    <cfRule type="duplicateValues" dxfId="157" priority="594"/>
  </conditionalFormatting>
  <conditionalFormatting sqref="AP123">
    <cfRule type="duplicateValues" dxfId="156" priority="1194"/>
    <cfRule type="duplicateValues" dxfId="155" priority="2073"/>
  </conditionalFormatting>
  <conditionalFormatting sqref="AP125">
    <cfRule type="duplicateValues" dxfId="154" priority="43"/>
    <cfRule type="duplicateValues" dxfId="153" priority="44"/>
  </conditionalFormatting>
  <conditionalFormatting sqref="AP126 AP128">
    <cfRule type="duplicateValues" dxfId="152" priority="630"/>
  </conditionalFormatting>
  <conditionalFormatting sqref="AP127">
    <cfRule type="duplicateValues" dxfId="151" priority="15"/>
  </conditionalFormatting>
  <conditionalFormatting sqref="AP129">
    <cfRule type="duplicateValues" dxfId="150" priority="408"/>
  </conditionalFormatting>
  <conditionalFormatting sqref="AP130">
    <cfRule type="duplicateValues" dxfId="149" priority="60"/>
  </conditionalFormatting>
  <conditionalFormatting sqref="AP131">
    <cfRule type="duplicateValues" dxfId="148" priority="61"/>
  </conditionalFormatting>
  <conditionalFormatting sqref="AP132">
    <cfRule type="duplicateValues" dxfId="147" priority="405"/>
  </conditionalFormatting>
  <conditionalFormatting sqref="AP133 AP135">
    <cfRule type="duplicateValues" dxfId="146" priority="321"/>
  </conditionalFormatting>
  <conditionalFormatting sqref="AP134">
    <cfRule type="duplicateValues" dxfId="145" priority="28"/>
  </conditionalFormatting>
  <conditionalFormatting sqref="AP148">
    <cfRule type="duplicateValues" dxfId="144" priority="12"/>
    <cfRule type="duplicateValues" dxfId="143" priority="13"/>
  </conditionalFormatting>
  <conditionalFormatting sqref="AP169">
    <cfRule type="duplicateValues" dxfId="142" priority="27"/>
    <cfRule type="duplicateValues" dxfId="141" priority="26"/>
  </conditionalFormatting>
  <conditionalFormatting sqref="AP171">
    <cfRule type="duplicateValues" dxfId="140" priority="16"/>
    <cfRule type="duplicateValues" dxfId="139" priority="17"/>
  </conditionalFormatting>
  <conditionalFormatting sqref="AP174">
    <cfRule type="duplicateValues" dxfId="138" priority="6"/>
    <cfRule type="duplicateValues" dxfId="137" priority="7"/>
  </conditionalFormatting>
  <conditionalFormatting sqref="AP187">
    <cfRule type="duplicateValues" dxfId="136" priority="19"/>
    <cfRule type="duplicateValues" dxfId="135" priority="18"/>
  </conditionalFormatting>
  <conditionalFormatting sqref="AP329">
    <cfRule type="duplicateValues" dxfId="134" priority="20"/>
    <cfRule type="duplicateValues" dxfId="133" priority="21"/>
  </conditionalFormatting>
  <conditionalFormatting sqref="AP407">
    <cfRule type="duplicateValues" dxfId="132" priority="5"/>
    <cfRule type="duplicateValues" dxfId="131" priority="4"/>
  </conditionalFormatting>
  <conditionalFormatting sqref="AP476">
    <cfRule type="duplicateValues" dxfId="130" priority="10"/>
    <cfRule type="duplicateValues" dxfId="129" priority="11"/>
  </conditionalFormatting>
  <conditionalFormatting sqref="AP479">
    <cfRule type="duplicateValues" dxfId="128" priority="25"/>
    <cfRule type="duplicateValues" dxfId="127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6" priority="1255"/>
  </conditionalFormatting>
  <conditionalFormatting sqref="AP492:AP1048576 AP1:AP490">
    <cfRule type="duplicateValues" dxfId="125" priority="1195"/>
    <cfRule type="duplicateValues" dxfId="124" priority="739"/>
  </conditionalFormatting>
  <conditionalFormatting sqref="AP523">
    <cfRule type="duplicateValues" dxfId="123" priority="23"/>
    <cfRule type="duplicateValues" dxfId="122" priority="22"/>
  </conditionalFormatting>
  <conditionalFormatting sqref="AP551">
    <cfRule type="duplicateValues" dxfId="121" priority="8"/>
    <cfRule type="duplicateValues" dxfId="120" priority="9"/>
  </conditionalFormatting>
  <conditionalFormatting sqref="AP940:AP1048576 AP1:AP9 AP78:AP81 AP40:AP41 AP65 AP16:AP19 AP67 AP73 AP21 AP31:AP35 AP117 AP23:AP24 AP26:AP29 AP54:AP60 AP43:AP52 AP70:AP71 AP121:AP122">
    <cfRule type="duplicateValues" dxfId="119" priority="1304"/>
  </conditionalFormatting>
  <conditionalFormatting sqref="AQ112">
    <cfRule type="duplicateValues" dxfId="118" priority="320"/>
  </conditionalFormatting>
  <conditionalFormatting sqref="AR112">
    <cfRule type="duplicateValues" dxfId="117" priority="319"/>
  </conditionalFormatting>
  <conditionalFormatting sqref="AS112">
    <cfRule type="duplicateValues" dxfId="116" priority="318"/>
  </conditionalFormatting>
  <conditionalFormatting sqref="AT112">
    <cfRule type="duplicateValues" dxfId="115" priority="317"/>
  </conditionalFormatting>
  <conditionalFormatting sqref="AU112">
    <cfRule type="duplicateValues" dxfId="114" priority="316"/>
  </conditionalFormatting>
  <conditionalFormatting sqref="AV112">
    <cfRule type="duplicateValues" dxfId="113" priority="315"/>
  </conditionalFormatting>
  <conditionalFormatting sqref="AV183:AW183">
    <cfRule type="cellIs" dxfId="112" priority="100" operator="between">
      <formula>36526</formula>
      <formula>402133</formula>
    </cfRule>
  </conditionalFormatting>
  <conditionalFormatting sqref="AV671:AW671">
    <cfRule type="cellIs" dxfId="111" priority="84" operator="between">
      <formula>36526</formula>
      <formula>402133</formula>
    </cfRule>
  </conditionalFormatting>
  <conditionalFormatting sqref="AV680:AW680">
    <cfRule type="cellIs" dxfId="110" priority="81" operator="between">
      <formula>36526</formula>
      <formula>402133</formula>
    </cfRule>
  </conditionalFormatting>
  <conditionalFormatting sqref="AV715:AW715">
    <cfRule type="cellIs" dxfId="109" priority="78" operator="between">
      <formula>36526</formula>
      <formula>402133</formula>
    </cfRule>
  </conditionalFormatting>
  <conditionalFormatting sqref="AV725:AW725 AY809:AY1048576">
    <cfRule type="cellIs" dxfId="108" priority="74" operator="between">
      <formula>36526</formula>
      <formula>402133</formula>
    </cfRule>
  </conditionalFormatting>
  <conditionalFormatting sqref="AW112">
    <cfRule type="duplicateValues" dxfId="107" priority="314"/>
  </conditionalFormatting>
  <conditionalFormatting sqref="AW458:AX458">
    <cfRule type="cellIs" dxfId="106" priority="610" operator="between">
      <formula>36526</formula>
      <formula>402133</formula>
    </cfRule>
  </conditionalFormatting>
  <conditionalFormatting sqref="AX112">
    <cfRule type="duplicateValues" dxfId="105" priority="313"/>
  </conditionalFormatting>
  <conditionalFormatting sqref="AY1:AY99 AY160:AY168 AY176:AY186 AY302:AY328 AY385:AY386 AY388:AY405 AY408:AY414 AY419:AY420 AY422:AY432 AY443:AY455 AY465 AY467 AY470:AY473 AY484:AY487 AY489:AY522 AY554:AY563 AY565:AY586 AY588:AY593 AY101:AY102 AY104:AY118 AY120:AY125 AY127:AY132 AY134 AY136:AY158 AY170 AY172:AY173 AY188:AY195 AY197:AY300 AY330:AY383 AY434:AY441 AY457:AY459 AY461:AY463 AY475 AY477:AY478 AY480:AY482 AY524:AY550 AY552 AY595:AY806">
    <cfRule type="cellIs" dxfId="104" priority="50" operator="between">
      <formula>36526</formula>
      <formula>402133</formula>
    </cfRule>
  </conditionalFormatting>
  <conditionalFormatting sqref="AY159">
    <cfRule type="cellIs" dxfId="103" priority="45" operator="greaterThan">
      <formula>43831</formula>
    </cfRule>
  </conditionalFormatting>
  <conditionalFormatting sqref="AY483">
    <cfRule type="cellIs" dxfId="102" priority="46" operator="greaterThan">
      <formula>43831</formula>
    </cfRule>
  </conditionalFormatting>
  <conditionalFormatting sqref="AY417:AZ417">
    <cfRule type="cellIs" dxfId="101" priority="33" operator="between">
      <formula>36526</formula>
      <formula>402133</formula>
    </cfRule>
  </conditionalFormatting>
  <conditionalFormatting sqref="AZ35">
    <cfRule type="cellIs" dxfId="100" priority="570" operator="between">
      <formula>36526</formula>
      <formula>402133</formula>
    </cfRule>
  </conditionalFormatting>
  <conditionalFormatting sqref="AZ37">
    <cfRule type="cellIs" dxfId="99" priority="528" operator="between">
      <formula>36526</formula>
      <formula>402133</formula>
    </cfRule>
  </conditionalFormatting>
  <conditionalFormatting sqref="AZ42">
    <cfRule type="cellIs" dxfId="98" priority="526" operator="between">
      <formula>36526</formula>
      <formula>402133</formula>
    </cfRule>
  </conditionalFormatting>
  <conditionalFormatting sqref="AZ47">
    <cfRule type="cellIs" dxfId="97" priority="223" operator="between">
      <formula>36526</formula>
      <formula>402133</formula>
    </cfRule>
  </conditionalFormatting>
  <conditionalFormatting sqref="AZ50">
    <cfRule type="cellIs" dxfId="96" priority="107" operator="between">
      <formula>36526</formula>
      <formula>402133</formula>
    </cfRule>
  </conditionalFormatting>
  <conditionalFormatting sqref="AZ54">
    <cfRule type="cellIs" dxfId="95" priority="221" operator="between">
      <formula>36526</formula>
      <formula>402133</formula>
    </cfRule>
  </conditionalFormatting>
  <conditionalFormatting sqref="AZ101">
    <cfRule type="cellIs" dxfId="94" priority="41" operator="between">
      <formula>36526</formula>
      <formula>402133</formula>
    </cfRule>
  </conditionalFormatting>
  <conditionalFormatting sqref="AZ107">
    <cfRule type="cellIs" dxfId="93" priority="220" operator="between">
      <formula>36526</formula>
      <formula>402133</formula>
    </cfRule>
  </conditionalFormatting>
  <conditionalFormatting sqref="AZ114">
    <cfRule type="cellIs" dxfId="92" priority="219" operator="between">
      <formula>36526</formula>
      <formula>402133</formula>
    </cfRule>
  </conditionalFormatting>
  <conditionalFormatting sqref="AZ116">
    <cfRule type="cellIs" dxfId="91" priority="58" operator="between">
      <formula>36526</formula>
      <formula>402133</formula>
    </cfRule>
  </conditionalFormatting>
  <conditionalFormatting sqref="AZ128:AZ129">
    <cfRule type="cellIs" dxfId="90" priority="218" operator="between">
      <formula>36526</formula>
      <formula>402133</formula>
    </cfRule>
  </conditionalFormatting>
  <conditionalFormatting sqref="AZ134 AZ136">
    <cfRule type="cellIs" dxfId="89" priority="37" operator="between">
      <formula>36526</formula>
      <formula>402133</formula>
    </cfRule>
  </conditionalFormatting>
  <conditionalFormatting sqref="AZ139:AZ140">
    <cfRule type="cellIs" dxfId="88" priority="217" operator="between">
      <formula>36526</formula>
      <formula>402133</formula>
    </cfRule>
  </conditionalFormatting>
  <conditionalFormatting sqref="AZ144">
    <cfRule type="cellIs" dxfId="87" priority="105" operator="between">
      <formula>36526</formula>
      <formula>402133</formula>
    </cfRule>
  </conditionalFormatting>
  <conditionalFormatting sqref="AZ148">
    <cfRule type="cellIs" dxfId="86" priority="48" operator="between">
      <formula>36526</formula>
      <formula>402133</formula>
    </cfRule>
  </conditionalFormatting>
  <conditionalFormatting sqref="AZ150">
    <cfRule type="cellIs" dxfId="85" priority="216" operator="between">
      <formula>36526</formula>
      <formula>402133</formula>
    </cfRule>
  </conditionalFormatting>
  <conditionalFormatting sqref="AZ152:AZ156">
    <cfRule type="cellIs" dxfId="84" priority="57" operator="between">
      <formula>36526</formula>
      <formula>402133</formula>
    </cfRule>
  </conditionalFormatting>
  <conditionalFormatting sqref="AZ160">
    <cfRule type="cellIs" dxfId="83" priority="40" operator="between">
      <formula>36526</formula>
      <formula>402133</formula>
    </cfRule>
  </conditionalFormatting>
  <conditionalFormatting sqref="AZ162">
    <cfRule type="cellIs" dxfId="82" priority="56" operator="between">
      <formula>36526</formula>
      <formula>402133</formula>
    </cfRule>
  </conditionalFormatting>
  <conditionalFormatting sqref="AZ166">
    <cfRule type="cellIs" dxfId="81" priority="39" operator="between">
      <formula>36526</formula>
      <formula>402133</formula>
    </cfRule>
  </conditionalFormatting>
  <conditionalFormatting sqref="AZ171">
    <cfRule type="cellIs" dxfId="80" priority="30" operator="between">
      <formula>36526</formula>
      <formula>402133</formula>
    </cfRule>
  </conditionalFormatting>
  <conditionalFormatting sqref="AZ173">
    <cfRule type="cellIs" dxfId="79" priority="519" operator="between">
      <formula>36526</formula>
      <formula>402133</formula>
    </cfRule>
  </conditionalFormatting>
  <conditionalFormatting sqref="AZ178:AZ180">
    <cfRule type="cellIs" dxfId="78" priority="103" operator="between">
      <formula>36526</formula>
      <formula>402133</formula>
    </cfRule>
  </conditionalFormatting>
  <conditionalFormatting sqref="AZ185:AZ186">
    <cfRule type="cellIs" dxfId="77" priority="36" operator="between">
      <formula>36526</formula>
      <formula>402133</formula>
    </cfRule>
  </conditionalFormatting>
  <conditionalFormatting sqref="AZ209">
    <cfRule type="cellIs" dxfId="76" priority="2" operator="between">
      <formula>36526</formula>
      <formula>402133</formula>
    </cfRule>
  </conditionalFormatting>
  <conditionalFormatting sqref="AZ219">
    <cfRule type="cellIs" dxfId="75" priority="202" operator="between">
      <formula>36526</formula>
      <formula>402133</formula>
    </cfRule>
  </conditionalFormatting>
  <conditionalFormatting sqref="AZ223">
    <cfRule type="cellIs" dxfId="74" priority="94" operator="between">
      <formula>36526</formula>
      <formula>402133</formula>
    </cfRule>
  </conditionalFormatting>
  <conditionalFormatting sqref="AZ227">
    <cfRule type="cellIs" dxfId="73" priority="54" operator="between">
      <formula>36526</formula>
      <formula>402133</formula>
    </cfRule>
  </conditionalFormatting>
  <conditionalFormatting sqref="AZ243:AZ244">
    <cfRule type="cellIs" dxfId="72" priority="199" operator="between">
      <formula>36526</formula>
      <formula>402133</formula>
    </cfRule>
  </conditionalFormatting>
  <conditionalFormatting sqref="AZ261">
    <cfRule type="cellIs" dxfId="71" priority="654" operator="between">
      <formula>36526</formula>
      <formula>402133</formula>
    </cfRule>
  </conditionalFormatting>
  <conditionalFormatting sqref="AZ265">
    <cfRule type="cellIs" dxfId="70" priority="53" operator="between">
      <formula>36526</formula>
      <formula>402133</formula>
    </cfRule>
  </conditionalFormatting>
  <conditionalFormatting sqref="AZ267">
    <cfRule type="cellIs" dxfId="69" priority="198" operator="between">
      <formula>36526</formula>
      <formula>402133</formula>
    </cfRule>
  </conditionalFormatting>
  <conditionalFormatting sqref="AZ269">
    <cfRule type="cellIs" dxfId="68" priority="197" operator="between">
      <formula>36526</formula>
      <formula>402133</formula>
    </cfRule>
  </conditionalFormatting>
  <conditionalFormatting sqref="AZ271">
    <cfRule type="cellIs" dxfId="67" priority="52" operator="between">
      <formula>36526</formula>
      <formula>402133</formula>
    </cfRule>
  </conditionalFormatting>
  <conditionalFormatting sqref="AZ276">
    <cfRule type="cellIs" dxfId="66" priority="196" operator="between">
      <formula>36526</formula>
      <formula>402133</formula>
    </cfRule>
  </conditionalFormatting>
  <conditionalFormatting sqref="AZ278">
    <cfRule type="cellIs" dxfId="65" priority="195" operator="between">
      <formula>36526</formula>
      <formula>402133</formula>
    </cfRule>
  </conditionalFormatting>
  <conditionalFormatting sqref="AZ282">
    <cfRule type="cellIs" dxfId="64" priority="650" operator="between">
      <formula>36526</formula>
      <formula>402133</formula>
    </cfRule>
  </conditionalFormatting>
  <conditionalFormatting sqref="AZ329">
    <cfRule type="cellIs" dxfId="63" priority="194" operator="between">
      <formula>36526</formula>
      <formula>402133</formula>
    </cfRule>
  </conditionalFormatting>
  <conditionalFormatting sqref="AZ332:AZ333">
    <cfRule type="cellIs" dxfId="62" priority="29" operator="between">
      <formula>36526</formula>
      <formula>402133</formula>
    </cfRule>
  </conditionalFormatting>
  <conditionalFormatting sqref="AZ336">
    <cfRule type="cellIs" dxfId="61" priority="507" operator="between">
      <formula>36526</formula>
      <formula>402133</formula>
    </cfRule>
  </conditionalFormatting>
  <conditionalFormatting sqref="AZ344">
    <cfRule type="cellIs" dxfId="60" priority="506" operator="between">
      <formula>36526</formula>
      <formula>402133</formula>
    </cfRule>
  </conditionalFormatting>
  <conditionalFormatting sqref="AZ350">
    <cfRule type="cellIs" dxfId="59" priority="501" operator="between">
      <formula>36526</formula>
      <formula>402133</formula>
    </cfRule>
  </conditionalFormatting>
  <conditionalFormatting sqref="AZ364">
    <cfRule type="cellIs" dxfId="58" priority="502" operator="between">
      <formula>36526</formula>
      <formula>402133</formula>
    </cfRule>
  </conditionalFormatting>
  <conditionalFormatting sqref="AZ367">
    <cfRule type="cellIs" dxfId="57" priority="192" operator="between">
      <formula>36526</formula>
      <formula>402133</formula>
    </cfRule>
  </conditionalFormatting>
  <conditionalFormatting sqref="AZ371:AZ372">
    <cfRule type="cellIs" dxfId="56" priority="191" operator="between">
      <formula>36526</formula>
      <formula>402133</formula>
    </cfRule>
  </conditionalFormatting>
  <conditionalFormatting sqref="AZ376">
    <cfRule type="cellIs" dxfId="55" priority="190" operator="between">
      <formula>36526</formula>
      <formula>402133</formula>
    </cfRule>
  </conditionalFormatting>
  <conditionalFormatting sqref="AZ381">
    <cfRule type="cellIs" dxfId="54" priority="189" operator="between">
      <formula>36526</formula>
      <formula>402133</formula>
    </cfRule>
  </conditionalFormatting>
  <conditionalFormatting sqref="AZ389">
    <cfRule type="cellIs" dxfId="53" priority="35" operator="between">
      <formula>36526</formula>
      <formula>402133</formula>
    </cfRule>
  </conditionalFormatting>
  <conditionalFormatting sqref="AZ408">
    <cfRule type="cellIs" dxfId="52" priority="34" operator="between">
      <formula>36526</formula>
      <formula>402133</formula>
    </cfRule>
  </conditionalFormatting>
  <conditionalFormatting sqref="AZ413:AZ414">
    <cfRule type="cellIs" dxfId="51" priority="188" operator="between">
      <formula>36526</formula>
      <formula>402133</formula>
    </cfRule>
  </conditionalFormatting>
  <conditionalFormatting sqref="AZ426:AZ427">
    <cfRule type="cellIs" dxfId="50" priority="187" operator="between">
      <formula>36526</formula>
      <formula>402133</formula>
    </cfRule>
  </conditionalFormatting>
  <conditionalFormatting sqref="AZ434">
    <cfRule type="cellIs" dxfId="49" priority="503" operator="between">
      <formula>36526</formula>
      <formula>402133</formula>
    </cfRule>
  </conditionalFormatting>
  <conditionalFormatting sqref="AZ489">
    <cfRule type="cellIs" dxfId="48" priority="32" operator="between">
      <formula>36526</formula>
      <formula>402133</formula>
    </cfRule>
  </conditionalFormatting>
  <conditionalFormatting sqref="AZ514">
    <cfRule type="cellIs" dxfId="47" priority="51" operator="between">
      <formula>36526</formula>
      <formula>402133</formula>
    </cfRule>
  </conditionalFormatting>
  <conditionalFormatting sqref="AZ565">
    <cfRule type="cellIs" dxfId="46" priority="31" operator="between">
      <formula>36526</formula>
      <formula>402133</formula>
    </cfRule>
  </conditionalFormatting>
  <conditionalFormatting sqref="AZ641:AZ642">
    <cfRule type="cellIs" dxfId="45" priority="88" operator="between">
      <formula>36526</formula>
      <formula>402133</formula>
    </cfRule>
  </conditionalFormatting>
  <conditionalFormatting sqref="AZ649">
    <cfRule type="cellIs" dxfId="44" priority="87" operator="between">
      <formula>36526</formula>
      <formula>402133</formula>
    </cfRule>
  </conditionalFormatting>
  <conditionalFormatting sqref="AZ654">
    <cfRule type="cellIs" dxfId="43" priority="86" operator="between">
      <formula>36526</formula>
      <formula>402133</formula>
    </cfRule>
  </conditionalFormatting>
  <conditionalFormatting sqref="AZ659">
    <cfRule type="cellIs" dxfId="42" priority="85" operator="between">
      <formula>36526</formula>
      <formula>402133</formula>
    </cfRule>
  </conditionalFormatting>
  <conditionalFormatting sqref="AZ679">
    <cfRule type="cellIs" dxfId="41" priority="83" operator="between">
      <formula>36526</formula>
      <formula>402133</formula>
    </cfRule>
  </conditionalFormatting>
  <conditionalFormatting sqref="AZ696">
    <cfRule type="cellIs" dxfId="40" priority="80" operator="between">
      <formula>36526</formula>
      <formula>402133</formula>
    </cfRule>
  </conditionalFormatting>
  <conditionalFormatting sqref="AZ716:AZ717">
    <cfRule type="cellIs" dxfId="39" priority="77" operator="between">
      <formula>36526</formula>
      <formula>402133</formula>
    </cfRule>
  </conditionalFormatting>
  <conditionalFormatting sqref="AZ723">
    <cfRule type="cellIs" dxfId="38" priority="76" operator="between">
      <formula>36526</formula>
      <formula>402133</formula>
    </cfRule>
  </conditionalFormatting>
  <conditionalFormatting sqref="BB1:BB873 BB875:BB1048576">
    <cfRule type="containsText" dxfId="37" priority="1398" operator="containsText" text="FINALIZADO">
      <formula>NOT(ISERROR(SEARCH("FINALIZADO",BB1)))</formula>
    </cfRule>
  </conditionalFormatting>
  <conditionalFormatting sqref="BD1:BD873">
    <cfRule type="cellIs" dxfId="36" priority="173" operator="equal">
      <formula>"AA"</formula>
    </cfRule>
    <cfRule type="cellIs" dxfId="35" priority="172" operator="equal">
      <formula>"INDENIZAÇÃO"</formula>
    </cfRule>
  </conditionalFormatting>
  <conditionalFormatting sqref="BD10:BD869">
    <cfRule type="cellIs" dxfId="34" priority="174" operator="equal">
      <formula>"FINALIZADO"</formula>
    </cfRule>
  </conditionalFormatting>
  <conditionalFormatting sqref="BD875:BD1048576">
    <cfRule type="cellIs" dxfId="33" priority="1371" operator="equal">
      <formula>"INDENIZAÇÃO"</formula>
    </cfRule>
    <cfRule type="cellIs" dxfId="32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T144:AY147 AY164:AY174 AQ523:AY523 AT524 AT185:AU199 AU70:AV103 AU169:AV175 AS126:AY126 AT329:AV331 AX326:AX357 AS433:AW433 AS456:AW456 AT479:AV481 AU472:AV474 AQ551:AY551 AX470:AX484 AY419:AY463 AW390:AY407 AW327:AW357 AX419:AX441 AW419:AW432 AX443:AX463 AW443:AW455 AY544:AY550 AY59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6666</v>
      </c>
      <c r="D6" s="242" t="s">
        <v>6667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6483</v>
      </c>
      <c r="D10" s="242" t="s">
        <v>6484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1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6763</v>
      </c>
      <c r="D19" s="242" t="s">
        <v>6767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6471</v>
      </c>
      <c r="D20" s="242" t="s">
        <v>6472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6458</v>
      </c>
      <c r="D21" s="242" t="s">
        <v>6462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6293</v>
      </c>
      <c r="D23" s="242" t="s">
        <v>6294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6402</v>
      </c>
      <c r="D24" s="242" t="s">
        <v>6403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6387</v>
      </c>
      <c r="D26" s="274" t="s">
        <v>6391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6433</v>
      </c>
      <c r="D28" s="242" t="s">
        <v>6437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29">
    <cfRule type="duplicateValues" dxfId="30" priority="4"/>
  </conditionalFormatting>
  <conditionalFormatting sqref="C30:C34">
    <cfRule type="duplicateValues" dxfId="29" priority="3066"/>
  </conditionalFormatting>
  <conditionalFormatting sqref="C6:C28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2026-07-31T13:42:37Z</dcterms:modified>
  <cp:category/>
  <cp:contentStatus/>
</cp:coreProperties>
</file>